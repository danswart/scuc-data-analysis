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"/>
    </mc:Choice>
  </mc:AlternateContent>
  <xr:revisionPtr revIDLastSave="0" documentId="13_ncr:1_{A414AB13-87AC-0145-B9E2-2373B316D141}" xr6:coauthVersionLast="47" xr6:coauthVersionMax="47" xr10:uidLastSave="{00000000-0000-0000-0000-000000000000}"/>
  <bookViews>
    <workbookView xWindow="0" yWindow="0" windowWidth="32000" windowHeight="18000" xr2:uid="{E446ED3B-4AEC-8C41-8BB6-324FD235385F}"/>
  </bookViews>
  <sheets>
    <sheet name="2016-2022 STAAR all_subj combin" sheetId="11" r:id="rId1"/>
    <sheet name="2016-2022 STAAR all sub apponly" sheetId="17" r:id="rId2"/>
    <sheet name="2016-2022 STAAR XmR Chart Data" sheetId="1" r:id="rId3"/>
  </sheets>
  <definedNames>
    <definedName name="_xlnm.Print_Area" localSheetId="1">'2016-2022 STAAR all sub apponly'!$C$1:$R$35</definedName>
    <definedName name="_xlnm.Print_Area" localSheetId="0">'2016-2022 STAAR all_subj combin'!$C$1:$R$35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J3" i="17"/>
  <c r="K4" i="17" s="1"/>
  <c r="J4" i="17"/>
  <c r="K5" i="17" s="1"/>
  <c r="J5" i="17"/>
  <c r="K6" i="17" s="1"/>
  <c r="J6" i="17"/>
  <c r="K7" i="17" s="1"/>
  <c r="J7" i="17"/>
  <c r="J8" i="17" s="1"/>
  <c r="J9" i="17" s="1"/>
  <c r="J10" i="17" s="1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" i="17"/>
  <c r="K3" i="17" s="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J3" i="11"/>
  <c r="K4" i="11" s="1"/>
  <c r="J4" i="11"/>
  <c r="K5" i="11" s="1"/>
  <c r="J5" i="11"/>
  <c r="K6" i="11" s="1"/>
  <c r="J6" i="11"/>
  <c r="K7" i="11" s="1"/>
  <c r="J7" i="1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" i="11"/>
  <c r="K3" i="11" s="1"/>
  <c r="O24" i="17" l="1"/>
  <c r="O6" i="17"/>
  <c r="O2" i="17"/>
  <c r="O18" i="17"/>
  <c r="O12" i="17"/>
  <c r="O23" i="17"/>
  <c r="O17" i="17"/>
  <c r="O11" i="17"/>
  <c r="O5" i="17"/>
  <c r="O22" i="17"/>
  <c r="O16" i="17"/>
  <c r="O10" i="17"/>
  <c r="O27" i="17"/>
  <c r="O21" i="17"/>
  <c r="O15" i="17"/>
  <c r="O9" i="17"/>
  <c r="O4" i="17"/>
  <c r="O26" i="17"/>
  <c r="O20" i="17"/>
  <c r="O14" i="17"/>
  <c r="O8" i="17"/>
  <c r="O3" i="17"/>
  <c r="O25" i="17"/>
  <c r="O19" i="17"/>
  <c r="O13" i="17"/>
  <c r="O7" i="17"/>
  <c r="O24" i="11"/>
  <c r="O6" i="11"/>
  <c r="O18" i="11"/>
  <c r="O12" i="11"/>
  <c r="O5" i="11"/>
  <c r="O2" i="11"/>
  <c r="O23" i="11"/>
  <c r="O17" i="11"/>
  <c r="O11" i="11"/>
  <c r="O22" i="11"/>
  <c r="O16" i="11"/>
  <c r="O10" i="11"/>
  <c r="O27" i="11"/>
  <c r="O21" i="11"/>
  <c r="O15" i="11"/>
  <c r="O9" i="11"/>
  <c r="O4" i="11"/>
  <c r="O26" i="11"/>
  <c r="O20" i="11"/>
  <c r="O14" i="11"/>
  <c r="O8" i="11"/>
  <c r="O3" i="11"/>
  <c r="O25" i="11"/>
  <c r="O19" i="11"/>
  <c r="O13" i="11"/>
  <c r="O7" i="11"/>
  <c r="H25" i="17" l="1"/>
  <c r="I25" i="17"/>
  <c r="H4" i="17"/>
  <c r="I4" i="17"/>
  <c r="H10" i="17"/>
  <c r="I10" i="17"/>
  <c r="H23" i="17"/>
  <c r="I23" i="17"/>
  <c r="H3" i="17"/>
  <c r="I3" i="17"/>
  <c r="H9" i="17"/>
  <c r="I9" i="17"/>
  <c r="H16" i="17"/>
  <c r="I16" i="17"/>
  <c r="H12" i="17"/>
  <c r="I12" i="17"/>
  <c r="H8" i="17"/>
  <c r="I8" i="17"/>
  <c r="H15" i="17"/>
  <c r="I15" i="17"/>
  <c r="H22" i="17"/>
  <c r="I22" i="17"/>
  <c r="H18" i="17"/>
  <c r="I18" i="17"/>
  <c r="H7" i="17"/>
  <c r="I7" i="17"/>
  <c r="H14" i="17"/>
  <c r="I14" i="17"/>
  <c r="H21" i="17"/>
  <c r="I21" i="17"/>
  <c r="H5" i="17"/>
  <c r="I5" i="17"/>
  <c r="H2" i="17"/>
  <c r="I2" i="17"/>
  <c r="H13" i="17"/>
  <c r="I13" i="17"/>
  <c r="H20" i="17"/>
  <c r="I20" i="17"/>
  <c r="H27" i="17"/>
  <c r="I27" i="17"/>
  <c r="H11" i="17"/>
  <c r="I11" i="17"/>
  <c r="H6" i="17"/>
  <c r="I6" i="17"/>
  <c r="H19" i="17"/>
  <c r="I19" i="17"/>
  <c r="H26" i="17"/>
  <c r="I26" i="17"/>
  <c r="H17" i="17"/>
  <c r="I17" i="17"/>
  <c r="H24" i="17"/>
  <c r="I24" i="17"/>
  <c r="E23" i="17"/>
  <c r="G23" i="17"/>
  <c r="E12" i="17"/>
  <c r="G12" i="17"/>
  <c r="E25" i="17"/>
  <c r="G25" i="17"/>
  <c r="E4" i="17"/>
  <c r="G4" i="17"/>
  <c r="E10" i="17"/>
  <c r="G10" i="17"/>
  <c r="E8" i="17"/>
  <c r="G8" i="17"/>
  <c r="E15" i="17"/>
  <c r="G15" i="17"/>
  <c r="E22" i="17"/>
  <c r="G22" i="17"/>
  <c r="E18" i="17"/>
  <c r="G18" i="17"/>
  <c r="E9" i="17"/>
  <c r="G9" i="17"/>
  <c r="E7" i="17"/>
  <c r="G7" i="17"/>
  <c r="E14" i="17"/>
  <c r="G14" i="17"/>
  <c r="E21" i="17"/>
  <c r="G21" i="17"/>
  <c r="E5" i="17"/>
  <c r="G5" i="17"/>
  <c r="E2" i="17"/>
  <c r="G2" i="17"/>
  <c r="E16" i="17"/>
  <c r="G16" i="17"/>
  <c r="E13" i="17"/>
  <c r="G13" i="17"/>
  <c r="E20" i="17"/>
  <c r="G20" i="17"/>
  <c r="E27" i="17"/>
  <c r="G27" i="17"/>
  <c r="E11" i="17"/>
  <c r="G11" i="17"/>
  <c r="E6" i="17"/>
  <c r="G6" i="17"/>
  <c r="E3" i="17"/>
  <c r="G3" i="17"/>
  <c r="E19" i="17"/>
  <c r="G19" i="17"/>
  <c r="E26" i="17"/>
  <c r="G26" i="17"/>
  <c r="E17" i="17"/>
  <c r="G17" i="17"/>
  <c r="E24" i="17"/>
  <c r="G24" i="17"/>
  <c r="C25" i="17"/>
  <c r="D25" i="17"/>
  <c r="C4" i="17"/>
  <c r="D4" i="17"/>
  <c r="C10" i="17"/>
  <c r="D10" i="17"/>
  <c r="C23" i="17"/>
  <c r="D23" i="17"/>
  <c r="C3" i="17"/>
  <c r="D3" i="17"/>
  <c r="C9" i="17"/>
  <c r="D9" i="17"/>
  <c r="C16" i="17"/>
  <c r="D16" i="17"/>
  <c r="C12" i="17"/>
  <c r="D12" i="17"/>
  <c r="C8" i="17"/>
  <c r="D8" i="17"/>
  <c r="C15" i="17"/>
  <c r="D15" i="17"/>
  <c r="C22" i="17"/>
  <c r="D22" i="17"/>
  <c r="C18" i="17"/>
  <c r="D18" i="17"/>
  <c r="C7" i="17"/>
  <c r="D7" i="17"/>
  <c r="C14" i="17"/>
  <c r="D14" i="17"/>
  <c r="C21" i="17"/>
  <c r="D21" i="17"/>
  <c r="C5" i="17"/>
  <c r="D5" i="17"/>
  <c r="C2" i="17"/>
  <c r="D2" i="17"/>
  <c r="C13" i="17"/>
  <c r="D13" i="17"/>
  <c r="C20" i="17"/>
  <c r="D20" i="17"/>
  <c r="C27" i="17"/>
  <c r="D27" i="17"/>
  <c r="C11" i="17"/>
  <c r="D11" i="17"/>
  <c r="C6" i="17"/>
  <c r="D6" i="17"/>
  <c r="C19" i="17"/>
  <c r="D19" i="17"/>
  <c r="C26" i="17"/>
  <c r="D26" i="17"/>
  <c r="C17" i="17"/>
  <c r="D17" i="17"/>
  <c r="C24" i="17"/>
  <c r="D24" i="17"/>
  <c r="L25" i="17"/>
  <c r="Q25" i="17" s="1"/>
  <c r="L4" i="17"/>
  <c r="M4" i="17" s="1"/>
  <c r="L10" i="17"/>
  <c r="M10" i="17" s="1"/>
  <c r="L23" i="17"/>
  <c r="P23" i="17" s="1"/>
  <c r="L3" i="17"/>
  <c r="M3" i="17" s="1"/>
  <c r="L9" i="17"/>
  <c r="M9" i="17" s="1"/>
  <c r="L16" i="17"/>
  <c r="Q16" i="17" s="1"/>
  <c r="L12" i="17"/>
  <c r="M12" i="17" s="1"/>
  <c r="L8" i="17"/>
  <c r="M8" i="17" s="1"/>
  <c r="L15" i="17"/>
  <c r="N15" i="17" s="1"/>
  <c r="L22" i="17"/>
  <c r="M22" i="17" s="1"/>
  <c r="L18" i="17"/>
  <c r="M18" i="17" s="1"/>
  <c r="L7" i="17"/>
  <c r="Q7" i="17" s="1"/>
  <c r="L14" i="17"/>
  <c r="M14" i="17" s="1"/>
  <c r="L21" i="17"/>
  <c r="M21" i="17" s="1"/>
  <c r="L5" i="17"/>
  <c r="Q5" i="17" s="1"/>
  <c r="L13" i="17"/>
  <c r="M13" i="17" s="1"/>
  <c r="L20" i="17"/>
  <c r="M20" i="17" s="1"/>
  <c r="L27" i="17"/>
  <c r="Q27" i="17" s="1"/>
  <c r="L11" i="17"/>
  <c r="M11" i="17" s="1"/>
  <c r="L6" i="17"/>
  <c r="M6" i="17" s="1"/>
  <c r="L19" i="17"/>
  <c r="P19" i="17" s="1"/>
  <c r="L26" i="17"/>
  <c r="M26" i="17" s="1"/>
  <c r="L17" i="17"/>
  <c r="Q17" i="17" s="1"/>
  <c r="L24" i="17"/>
  <c r="M24" i="17" s="1"/>
  <c r="H25" i="11"/>
  <c r="I25" i="11"/>
  <c r="H4" i="11"/>
  <c r="I4" i="11"/>
  <c r="H10" i="11"/>
  <c r="I10" i="11"/>
  <c r="H2" i="11"/>
  <c r="I2" i="11"/>
  <c r="H3" i="11"/>
  <c r="I3" i="11"/>
  <c r="H9" i="11"/>
  <c r="I9" i="11"/>
  <c r="H16" i="11"/>
  <c r="I16" i="11"/>
  <c r="H5" i="11"/>
  <c r="I5" i="11"/>
  <c r="H8" i="11"/>
  <c r="I8" i="11"/>
  <c r="H15" i="11"/>
  <c r="I15" i="11"/>
  <c r="H22" i="11"/>
  <c r="I22" i="11"/>
  <c r="H12" i="11"/>
  <c r="I12" i="11"/>
  <c r="H7" i="11"/>
  <c r="I7" i="11"/>
  <c r="H14" i="11"/>
  <c r="I14" i="11"/>
  <c r="H21" i="11"/>
  <c r="I21" i="11"/>
  <c r="H11" i="11"/>
  <c r="I11" i="11"/>
  <c r="H18" i="11"/>
  <c r="I18" i="11"/>
  <c r="H13" i="11"/>
  <c r="I13" i="11"/>
  <c r="H20" i="11"/>
  <c r="I20" i="11"/>
  <c r="H27" i="11"/>
  <c r="I27" i="11"/>
  <c r="H17" i="11"/>
  <c r="I17" i="11"/>
  <c r="H6" i="11"/>
  <c r="I6" i="11"/>
  <c r="H19" i="11"/>
  <c r="I19" i="11"/>
  <c r="H26" i="11"/>
  <c r="I26" i="11"/>
  <c r="H23" i="11"/>
  <c r="I23" i="11"/>
  <c r="H24" i="11"/>
  <c r="I24" i="11"/>
  <c r="E25" i="11"/>
  <c r="G25" i="11"/>
  <c r="E4" i="11"/>
  <c r="G4" i="11"/>
  <c r="E10" i="11"/>
  <c r="G10" i="11"/>
  <c r="E2" i="11"/>
  <c r="G2" i="11"/>
  <c r="E16" i="11"/>
  <c r="G16" i="11"/>
  <c r="E5" i="11"/>
  <c r="G5" i="11"/>
  <c r="E8" i="11"/>
  <c r="G8" i="11"/>
  <c r="E15" i="11"/>
  <c r="G15" i="11"/>
  <c r="E22" i="11"/>
  <c r="G22" i="11"/>
  <c r="E12" i="11"/>
  <c r="G12" i="11"/>
  <c r="E3" i="11"/>
  <c r="G3" i="11"/>
  <c r="E7" i="11"/>
  <c r="G7" i="11"/>
  <c r="E14" i="11"/>
  <c r="G14" i="11"/>
  <c r="E21" i="11"/>
  <c r="G21" i="11"/>
  <c r="E11" i="11"/>
  <c r="G11" i="11"/>
  <c r="E18" i="11"/>
  <c r="G18" i="11"/>
  <c r="E9" i="11"/>
  <c r="G9" i="11"/>
  <c r="E13" i="11"/>
  <c r="G13" i="11"/>
  <c r="E20" i="11"/>
  <c r="G20" i="11"/>
  <c r="E27" i="11"/>
  <c r="G27" i="11"/>
  <c r="E17" i="11"/>
  <c r="G17" i="11"/>
  <c r="E6" i="11"/>
  <c r="G6" i="11"/>
  <c r="E19" i="11"/>
  <c r="G19" i="11"/>
  <c r="E26" i="11"/>
  <c r="G26" i="11"/>
  <c r="E23" i="11"/>
  <c r="G23" i="11"/>
  <c r="E24" i="11"/>
  <c r="G24" i="11"/>
  <c r="C25" i="11"/>
  <c r="D25" i="11"/>
  <c r="C4" i="11"/>
  <c r="D4" i="11"/>
  <c r="C10" i="11"/>
  <c r="D10" i="11"/>
  <c r="C2" i="11"/>
  <c r="D2" i="11"/>
  <c r="C3" i="11"/>
  <c r="D3" i="11"/>
  <c r="C9" i="11"/>
  <c r="D9" i="11"/>
  <c r="C16" i="11"/>
  <c r="D16" i="11"/>
  <c r="C5" i="11"/>
  <c r="D5" i="11"/>
  <c r="C8" i="11"/>
  <c r="D8" i="11"/>
  <c r="C15" i="11"/>
  <c r="D15" i="11"/>
  <c r="C22" i="11"/>
  <c r="D22" i="11"/>
  <c r="C12" i="11"/>
  <c r="D12" i="11"/>
  <c r="C7" i="11"/>
  <c r="D7" i="11"/>
  <c r="C14" i="11"/>
  <c r="D14" i="11"/>
  <c r="C21" i="11"/>
  <c r="D21" i="11"/>
  <c r="C11" i="11"/>
  <c r="D11" i="11"/>
  <c r="C18" i="11"/>
  <c r="D18" i="11"/>
  <c r="C13" i="11"/>
  <c r="D13" i="11"/>
  <c r="C20" i="11"/>
  <c r="D20" i="11"/>
  <c r="C27" i="11"/>
  <c r="D27" i="11"/>
  <c r="C17" i="11"/>
  <c r="D17" i="11"/>
  <c r="C6" i="11"/>
  <c r="D6" i="11"/>
  <c r="C19" i="11"/>
  <c r="D19" i="11"/>
  <c r="C26" i="11"/>
  <c r="D26" i="11"/>
  <c r="C23" i="11"/>
  <c r="D23" i="11"/>
  <c r="C24" i="11"/>
  <c r="D24" i="11"/>
  <c r="L25" i="11"/>
  <c r="Q25" i="11" s="1"/>
  <c r="L4" i="11"/>
  <c r="M4" i="11" s="1"/>
  <c r="L10" i="11"/>
  <c r="M10" i="11" s="1"/>
  <c r="L3" i="11"/>
  <c r="Q3" i="11" s="1"/>
  <c r="L9" i="11"/>
  <c r="M9" i="11" s="1"/>
  <c r="L16" i="11"/>
  <c r="M16" i="11" s="1"/>
  <c r="L5" i="11"/>
  <c r="Q5" i="11" s="1"/>
  <c r="L8" i="11"/>
  <c r="M8" i="11" s="1"/>
  <c r="L15" i="11"/>
  <c r="M15" i="11" s="1"/>
  <c r="L22" i="11"/>
  <c r="Q22" i="11" s="1"/>
  <c r="L12" i="11"/>
  <c r="M12" i="11" s="1"/>
  <c r="L7" i="11"/>
  <c r="M7" i="11" s="1"/>
  <c r="L14" i="11"/>
  <c r="N14" i="11" s="1"/>
  <c r="L21" i="11"/>
  <c r="M21" i="11" s="1"/>
  <c r="L11" i="11"/>
  <c r="M11" i="11" s="1"/>
  <c r="L18" i="11"/>
  <c r="Q18" i="11" s="1"/>
  <c r="L13" i="11"/>
  <c r="M13" i="11" s="1"/>
  <c r="L20" i="11"/>
  <c r="M20" i="11" s="1"/>
  <c r="L27" i="11"/>
  <c r="Q27" i="11" s="1"/>
  <c r="L17" i="11"/>
  <c r="M17" i="11" s="1"/>
  <c r="L6" i="11"/>
  <c r="M6" i="11" s="1"/>
  <c r="L19" i="11"/>
  <c r="Q19" i="11" s="1"/>
  <c r="L26" i="11"/>
  <c r="M26" i="11" s="1"/>
  <c r="L23" i="11"/>
  <c r="Q23" i="11" s="1"/>
  <c r="L24" i="11"/>
  <c r="M24" i="11" s="1"/>
  <c r="P12" i="17" l="1"/>
  <c r="P26" i="17"/>
  <c r="P18" i="17"/>
  <c r="P4" i="17"/>
  <c r="N4" i="17"/>
  <c r="N24" i="17"/>
  <c r="N3" i="17"/>
  <c r="N10" i="17"/>
  <c r="P24" i="17"/>
  <c r="N19" i="17"/>
  <c r="N16" i="17"/>
  <c r="P8" i="17"/>
  <c r="P3" i="17"/>
  <c r="P11" i="17"/>
  <c r="P21" i="17"/>
  <c r="P10" i="17"/>
  <c r="N6" i="17"/>
  <c r="P14" i="17"/>
  <c r="N5" i="17"/>
  <c r="N21" i="17"/>
  <c r="P6" i="17"/>
  <c r="P13" i="17"/>
  <c r="P9" i="17"/>
  <c r="N20" i="17"/>
  <c r="M15" i="17"/>
  <c r="P20" i="17"/>
  <c r="P22" i="17"/>
  <c r="Q18" i="17"/>
  <c r="M19" i="17"/>
  <c r="M5" i="17"/>
  <c r="Q15" i="17"/>
  <c r="M16" i="17"/>
  <c r="N25" i="17"/>
  <c r="Q19" i="17"/>
  <c r="Q8" i="17"/>
  <c r="N17" i="17"/>
  <c r="N27" i="17"/>
  <c r="N7" i="17"/>
  <c r="Q6" i="17"/>
  <c r="Q9" i="17"/>
  <c r="M17" i="17"/>
  <c r="M7" i="17"/>
  <c r="N23" i="17"/>
  <c r="Q20" i="17"/>
  <c r="Q23" i="17"/>
  <c r="N13" i="17"/>
  <c r="N9" i="17"/>
  <c r="M23" i="17"/>
  <c r="P17" i="17"/>
  <c r="P27" i="17"/>
  <c r="P5" i="17"/>
  <c r="P7" i="17"/>
  <c r="P15" i="17"/>
  <c r="P16" i="17"/>
  <c r="P25" i="17"/>
  <c r="Q10" i="17"/>
  <c r="Q26" i="17"/>
  <c r="Q13" i="17"/>
  <c r="Q22" i="17"/>
  <c r="Q3" i="17"/>
  <c r="N11" i="17"/>
  <c r="N22" i="17"/>
  <c r="Q24" i="17"/>
  <c r="Q11" i="17"/>
  <c r="Q21" i="17"/>
  <c r="Q12" i="17"/>
  <c r="Q4" i="17"/>
  <c r="N26" i="17"/>
  <c r="M27" i="17"/>
  <c r="N14" i="17"/>
  <c r="N12" i="17"/>
  <c r="M25" i="17"/>
  <c r="Q14" i="17"/>
  <c r="N18" i="17"/>
  <c r="N8" i="17"/>
  <c r="M5" i="11"/>
  <c r="N25" i="11"/>
  <c r="M25" i="11"/>
  <c r="N20" i="11"/>
  <c r="P3" i="11"/>
  <c r="N3" i="11"/>
  <c r="N10" i="11"/>
  <c r="P12" i="11"/>
  <c r="P5" i="11"/>
  <c r="N27" i="11"/>
  <c r="M27" i="11"/>
  <c r="P9" i="11"/>
  <c r="N7" i="11"/>
  <c r="P26" i="11"/>
  <c r="P27" i="11"/>
  <c r="P21" i="11"/>
  <c r="N19" i="11"/>
  <c r="N8" i="11"/>
  <c r="M19" i="11"/>
  <c r="N5" i="11"/>
  <c r="P24" i="11"/>
  <c r="P19" i="11"/>
  <c r="P14" i="11"/>
  <c r="Q20" i="11"/>
  <c r="N6" i="11"/>
  <c r="P17" i="11"/>
  <c r="P18" i="11"/>
  <c r="P8" i="11"/>
  <c r="P25" i="11"/>
  <c r="N23" i="11"/>
  <c r="M23" i="11"/>
  <c r="M14" i="11"/>
  <c r="M3" i="11"/>
  <c r="P23" i="11"/>
  <c r="P4" i="11"/>
  <c r="N13" i="11"/>
  <c r="N22" i="11"/>
  <c r="N16" i="11"/>
  <c r="Q14" i="11"/>
  <c r="N18" i="11"/>
  <c r="M22" i="11"/>
  <c r="Q7" i="11"/>
  <c r="M18" i="11"/>
  <c r="N15" i="11"/>
  <c r="N24" i="11"/>
  <c r="P13" i="11"/>
  <c r="P22" i="11"/>
  <c r="Q16" i="11"/>
  <c r="Q26" i="11"/>
  <c r="Q13" i="11"/>
  <c r="Q12" i="11"/>
  <c r="Q9" i="11"/>
  <c r="N17" i="11"/>
  <c r="N12" i="11"/>
  <c r="N4" i="11"/>
  <c r="Q6" i="11"/>
  <c r="N11" i="11"/>
  <c r="P6" i="11"/>
  <c r="P20" i="11"/>
  <c r="P11" i="11"/>
  <c r="P7" i="11"/>
  <c r="P15" i="11"/>
  <c r="P16" i="11"/>
  <c r="P10" i="11"/>
  <c r="Q24" i="11"/>
  <c r="Q17" i="11"/>
  <c r="Q11" i="11"/>
  <c r="Q15" i="11"/>
  <c r="Q10" i="11"/>
  <c r="N26" i="11"/>
  <c r="N21" i="11"/>
  <c r="N9" i="11"/>
  <c r="Q21" i="11"/>
  <c r="Q8" i="11"/>
  <c r="Q4" i="11"/>
</calcChain>
</file>

<file path=xl/sharedStrings.xml><?xml version="1.0" encoding="utf-8"?>
<sst xmlns="http://schemas.openxmlformats.org/spreadsheetml/2006/main" count="132" uniqueCount="24">
  <si>
    <t>soc_science</t>
  </si>
  <si>
    <t>science</t>
  </si>
  <si>
    <t>math</t>
  </si>
  <si>
    <t>writing</t>
  </si>
  <si>
    <t>ela_reading</t>
  </si>
  <si>
    <t>all_subj</t>
  </si>
  <si>
    <t>failing</t>
  </si>
  <si>
    <t>meets_only</t>
  </si>
  <si>
    <t>meets</t>
  </si>
  <si>
    <t>masters_only</t>
  </si>
  <si>
    <t>masters</t>
  </si>
  <si>
    <t>approaches_only</t>
  </si>
  <si>
    <t>approaches</t>
  </si>
  <si>
    <t>subject</t>
  </si>
  <si>
    <t>year_end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</si>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</sst>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2016-2022 STAAR 'Approaches AND HIGHER' - XmR Chart - </a:t>
            </a:r>
          </a:p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all_subj combin'!$K$1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F927-C149-A43A-3000474F22DD}"/>
              </c:ext>
            </c:extLst>
          </c:dPt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combin'!$K$2:$K$7</c:f>
              <c:numCache>
                <c:formatCode>0.00</c:formatCode>
                <c:ptCount val="6"/>
                <c:pt idx="1">
                  <c:v>2.0000000000000018E-2</c:v>
                </c:pt>
                <c:pt idx="2">
                  <c:v>0</c:v>
                </c:pt>
                <c:pt idx="3">
                  <c:v>5.9999999999999942E-2</c:v>
                </c:pt>
                <c:pt idx="4">
                  <c:v>2.0000000000000018E-2</c:v>
                </c:pt>
                <c:pt idx="5">
                  <c:v>1.0000000000000009E-2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7-C149-A43A-3000474F22DD}"/>
            </c:ext>
          </c:extLst>
        </c:ser>
        <c:ser>
          <c:idx val="1"/>
          <c:order val="1"/>
          <c:tx>
            <c:strRef>
              <c:f>'2016-2022 STAAR all_subj combin'!$L$1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927-C149-A43A-3000474F22DD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5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0-544A-A3E9-7C46FC019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combin'!$L$2:$L$7</c:f>
              <c:numCache>
                <c:formatCode>0.00</c:formatCode>
                <c:ptCount val="6"/>
                <c:pt idx="1">
                  <c:v>7.1873999999999993E-2</c:v>
                </c:pt>
                <c:pt idx="2">
                  <c:v>7.1873999999999993E-2</c:v>
                </c:pt>
                <c:pt idx="3">
                  <c:v>7.1873999999999993E-2</c:v>
                </c:pt>
                <c:pt idx="4">
                  <c:v>7.1873999999999993E-2</c:v>
                </c:pt>
                <c:pt idx="5">
                  <c:v>7.1873999999999993E-2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7-C149-A43A-3000474F22DD}"/>
            </c:ext>
          </c:extLst>
        </c:ser>
        <c:ser>
          <c:idx val="2"/>
          <c:order val="2"/>
          <c:tx>
            <c:strRef>
              <c:f>'2016-2022 STAAR all_subj combin'!$M$1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combin'!$M$2:$M$7</c:f>
              <c:numCache>
                <c:formatCode>0.00</c:formatCode>
                <c:ptCount val="6"/>
                <c:pt idx="1">
                  <c:v>5.5249333333333324E-2</c:v>
                </c:pt>
                <c:pt idx="2">
                  <c:v>5.5249333333333324E-2</c:v>
                </c:pt>
                <c:pt idx="3">
                  <c:v>5.5249333333333324E-2</c:v>
                </c:pt>
                <c:pt idx="4">
                  <c:v>5.5249333333333324E-2</c:v>
                </c:pt>
                <c:pt idx="5">
                  <c:v>5.5249333333333324E-2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27-C149-A43A-3000474F22DD}"/>
            </c:ext>
          </c:extLst>
        </c:ser>
        <c:ser>
          <c:idx val="3"/>
          <c:order val="3"/>
          <c:tx>
            <c:strRef>
              <c:f>'2016-2022 STAAR all_subj combin'!$N$1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combin'!$N$2:$N$7</c:f>
              <c:numCache>
                <c:formatCode>0.00</c:formatCode>
                <c:ptCount val="6"/>
                <c:pt idx="1">
                  <c:v>3.8624666666666661E-2</c:v>
                </c:pt>
                <c:pt idx="2">
                  <c:v>3.8624666666666661E-2</c:v>
                </c:pt>
                <c:pt idx="3">
                  <c:v>3.8624666666666661E-2</c:v>
                </c:pt>
                <c:pt idx="4">
                  <c:v>3.8624666666666661E-2</c:v>
                </c:pt>
                <c:pt idx="5">
                  <c:v>3.8624666666666661E-2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27-C149-A43A-3000474F22DD}"/>
            </c:ext>
          </c:extLst>
        </c:ser>
        <c:ser>
          <c:idx val="4"/>
          <c:order val="4"/>
          <c:tx>
            <c:strRef>
              <c:f>'2016-2022 STAAR all_subj combin'!$O$1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927-C149-A43A-3000474F22DD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3006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40-544A-A3E9-7C46FC019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combin'!$O$2:$O$7</c:f>
              <c:numCache>
                <c:formatCode>0.00</c:formatCode>
                <c:ptCount val="6"/>
                <c:pt idx="0">
                  <c:v>2.1999999999999999E-2</c:v>
                </c:pt>
                <c:pt idx="1">
                  <c:v>2.1999999999999999E-2</c:v>
                </c:pt>
                <c:pt idx="2">
                  <c:v>2.1999999999999999E-2</c:v>
                </c:pt>
                <c:pt idx="3">
                  <c:v>2.1999999999999999E-2</c:v>
                </c:pt>
                <c:pt idx="4">
                  <c:v>2.1999999999999999E-2</c:v>
                </c:pt>
                <c:pt idx="5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27-C149-A43A-3000474F22DD}"/>
            </c:ext>
          </c:extLst>
        </c:ser>
        <c:ser>
          <c:idx val="5"/>
          <c:order val="5"/>
          <c:tx>
            <c:strRef>
              <c:f>'2016-2022 STAAR all_subj combin'!$P$1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combin'!$P$2:$P$7</c:f>
              <c:numCache>
                <c:formatCode>0.00</c:formatCode>
                <c:ptCount val="6"/>
                <c:pt idx="1">
                  <c:v>5.3753333333333361E-3</c:v>
                </c:pt>
                <c:pt idx="2">
                  <c:v>5.3753333333333361E-3</c:v>
                </c:pt>
                <c:pt idx="3">
                  <c:v>5.3753333333333361E-3</c:v>
                </c:pt>
                <c:pt idx="4">
                  <c:v>5.3753333333333361E-3</c:v>
                </c:pt>
                <c:pt idx="5">
                  <c:v>5.3753333333333361E-3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27-C149-A43A-3000474F22DD}"/>
            </c:ext>
          </c:extLst>
        </c:ser>
        <c:ser>
          <c:idx val="6"/>
          <c:order val="6"/>
          <c:tx>
            <c:strRef>
              <c:f>'2016-2022 STAAR all_subj combin'!$Q$1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27-C149-A43A-3000474F22DD}"/>
            </c:ext>
          </c:extLst>
        </c:ser>
        <c:ser>
          <c:idx val="7"/>
          <c:order val="7"/>
          <c:tx>
            <c:strRef>
              <c:f>'2016-2022 STAAR all_subj combin'!$R$1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27-C149-A43A-3000474F2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904271"/>
        <c:axId val="1841895151"/>
      </c:lineChart>
      <c:catAx>
        <c:axId val="184190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895151"/>
        <c:crosses val="autoZero"/>
        <c:auto val="0"/>
        <c:lblAlgn val="ctr"/>
        <c:lblOffset val="100"/>
        <c:noMultiLvlLbl val="0"/>
      </c:catAx>
      <c:valAx>
        <c:axId val="1841895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419042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2016-2022 STAAR all-subj 'Approaches AND HIGHER' - XmR Chart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all_subj combin'!$B$1</c:f>
              <c:strCache>
                <c:ptCount val="1"/>
                <c:pt idx="0">
                  <c:v>approaches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combin'!$B$2:$B$7</c:f>
              <c:numCache>
                <c:formatCode>0.00</c:formatCode>
                <c:ptCount val="6"/>
                <c:pt idx="0">
                  <c:v>0.82</c:v>
                </c:pt>
                <c:pt idx="1">
                  <c:v>0.84</c:v>
                </c:pt>
                <c:pt idx="2">
                  <c:v>0.84</c:v>
                </c:pt>
                <c:pt idx="3">
                  <c:v>0.78</c:v>
                </c:pt>
                <c:pt idx="4">
                  <c:v>0.8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C-BC43-9F8B-0D1616B41121}"/>
            </c:ext>
          </c:extLst>
        </c:ser>
        <c:ser>
          <c:idx val="1"/>
          <c:order val="1"/>
          <c:tx>
            <c:strRef>
              <c:f>'2016-2022 STAAR all_subj combin'!$C$1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combin'!$C$2:$C$7</c:f>
              <c:numCache>
                <c:formatCode>0.00</c:formatCode>
                <c:ptCount val="6"/>
                <c:pt idx="0">
                  <c:v>0.87352000000000007</c:v>
                </c:pt>
                <c:pt idx="1">
                  <c:v>0.87352000000000007</c:v>
                </c:pt>
                <c:pt idx="2">
                  <c:v>0.87352000000000007</c:v>
                </c:pt>
                <c:pt idx="3">
                  <c:v>0.87352000000000007</c:v>
                </c:pt>
                <c:pt idx="4">
                  <c:v>0.87352000000000007</c:v>
                </c:pt>
                <c:pt idx="5">
                  <c:v>0.87352000000000007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7C-BC43-9F8B-0D1616B41121}"/>
            </c:ext>
          </c:extLst>
        </c:ser>
        <c:ser>
          <c:idx val="2"/>
          <c:order val="2"/>
          <c:tx>
            <c:strRef>
              <c:f>'2016-2022 STAAR all_subj combin'!$D$1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combin'!$D$2:$D$7</c:f>
              <c:numCache>
                <c:formatCode>0.00</c:formatCode>
                <c:ptCount val="6"/>
                <c:pt idx="0">
                  <c:v>0.8540133333333334</c:v>
                </c:pt>
                <c:pt idx="1">
                  <c:v>0.8540133333333334</c:v>
                </c:pt>
                <c:pt idx="2">
                  <c:v>0.8540133333333334</c:v>
                </c:pt>
                <c:pt idx="3">
                  <c:v>0.8540133333333334</c:v>
                </c:pt>
                <c:pt idx="4">
                  <c:v>0.8540133333333334</c:v>
                </c:pt>
                <c:pt idx="5">
                  <c:v>0.8540133333333334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7C-BC43-9F8B-0D1616B41121}"/>
            </c:ext>
          </c:extLst>
        </c:ser>
        <c:ser>
          <c:idx val="3"/>
          <c:order val="3"/>
          <c:tx>
            <c:strRef>
              <c:f>'2016-2022 STAAR all_subj combin'!$E$1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combin'!$E$2:$E$7</c:f>
              <c:numCache>
                <c:formatCode>0.00</c:formatCode>
                <c:ptCount val="6"/>
                <c:pt idx="0">
                  <c:v>0.83450666666666673</c:v>
                </c:pt>
                <c:pt idx="1">
                  <c:v>0.83450666666666673</c:v>
                </c:pt>
                <c:pt idx="2">
                  <c:v>0.83450666666666673</c:v>
                </c:pt>
                <c:pt idx="3">
                  <c:v>0.83450666666666673</c:v>
                </c:pt>
                <c:pt idx="4">
                  <c:v>0.83450666666666673</c:v>
                </c:pt>
                <c:pt idx="5">
                  <c:v>0.83450666666666673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7C-BC43-9F8B-0D1616B41121}"/>
            </c:ext>
          </c:extLst>
        </c:ser>
        <c:ser>
          <c:idx val="4"/>
          <c:order val="4"/>
          <c:tx>
            <c:strRef>
              <c:f>'2016-2022 STAAR all_subj combin'!$F$1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3006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combin'!$F$2:$F$7</c:f>
              <c:numCache>
                <c:formatCode>0.00</c:formatCode>
                <c:ptCount val="6"/>
                <c:pt idx="0">
                  <c:v>0.81500000000000006</c:v>
                </c:pt>
                <c:pt idx="1">
                  <c:v>0.81500000000000006</c:v>
                </c:pt>
                <c:pt idx="2">
                  <c:v>0.81500000000000006</c:v>
                </c:pt>
                <c:pt idx="3">
                  <c:v>0.81500000000000006</c:v>
                </c:pt>
                <c:pt idx="4">
                  <c:v>0.81500000000000006</c:v>
                </c:pt>
                <c:pt idx="5">
                  <c:v>0.81500000000000006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7C-BC43-9F8B-0D1616B41121}"/>
            </c:ext>
          </c:extLst>
        </c:ser>
        <c:ser>
          <c:idx val="5"/>
          <c:order val="5"/>
          <c:tx>
            <c:strRef>
              <c:f>'2016-2022 STAAR all_subj combin'!$G$1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combin'!$G$2:$G$7</c:f>
              <c:numCache>
                <c:formatCode>0.00</c:formatCode>
                <c:ptCount val="6"/>
                <c:pt idx="0">
                  <c:v>0.79549333333333339</c:v>
                </c:pt>
                <c:pt idx="1">
                  <c:v>0.79549333333333339</c:v>
                </c:pt>
                <c:pt idx="2">
                  <c:v>0.79549333333333339</c:v>
                </c:pt>
                <c:pt idx="3">
                  <c:v>0.79549333333333339</c:v>
                </c:pt>
                <c:pt idx="4">
                  <c:v>0.79549333333333339</c:v>
                </c:pt>
                <c:pt idx="5">
                  <c:v>0.79549333333333339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7C-BC43-9F8B-0D1616B41121}"/>
            </c:ext>
          </c:extLst>
        </c:ser>
        <c:ser>
          <c:idx val="6"/>
          <c:order val="6"/>
          <c:tx>
            <c:strRef>
              <c:f>'2016-2022 STAAR all_subj combin'!$H$1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combin'!$H$2:$H$7</c:f>
              <c:numCache>
                <c:formatCode>0.00</c:formatCode>
                <c:ptCount val="6"/>
                <c:pt idx="0">
                  <c:v>0.77598666666666671</c:v>
                </c:pt>
                <c:pt idx="1">
                  <c:v>0.77598666666666671</c:v>
                </c:pt>
                <c:pt idx="2">
                  <c:v>0.77598666666666671</c:v>
                </c:pt>
                <c:pt idx="3">
                  <c:v>0.77598666666666671</c:v>
                </c:pt>
                <c:pt idx="4">
                  <c:v>0.77598666666666671</c:v>
                </c:pt>
                <c:pt idx="5">
                  <c:v>0.77598666666666671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7C-BC43-9F8B-0D1616B41121}"/>
            </c:ext>
          </c:extLst>
        </c:ser>
        <c:ser>
          <c:idx val="7"/>
          <c:order val="7"/>
          <c:tx>
            <c:strRef>
              <c:f>'2016-2022 STAAR all_subj combin'!$I$1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combin'!$I$2:$I$7</c:f>
              <c:numCache>
                <c:formatCode>0.00</c:formatCode>
                <c:ptCount val="6"/>
                <c:pt idx="0">
                  <c:v>0.75648000000000004</c:v>
                </c:pt>
                <c:pt idx="1">
                  <c:v>0.75648000000000004</c:v>
                </c:pt>
                <c:pt idx="2">
                  <c:v>0.75648000000000004</c:v>
                </c:pt>
                <c:pt idx="3">
                  <c:v>0.75648000000000004</c:v>
                </c:pt>
                <c:pt idx="4">
                  <c:v>0.75648000000000004</c:v>
                </c:pt>
                <c:pt idx="5">
                  <c:v>0.75648000000000004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7C-BC43-9F8B-0D1616B4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90368"/>
        <c:axId val="1761192159"/>
      </c:lineChart>
      <c:catAx>
        <c:axId val="17149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192159"/>
        <c:crossesAt val="-0.2"/>
        <c:auto val="0"/>
        <c:lblAlgn val="ctr"/>
        <c:lblOffset val="100"/>
        <c:noMultiLvlLbl val="0"/>
      </c:catAx>
      <c:valAx>
        <c:axId val="1761192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149036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2016-2022 STAAR XmR Charts approaches_only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 sub apponly'!$K$1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295B-2845-B79D-49A7A4F3575F}"/>
              </c:ext>
            </c:extLst>
          </c:dPt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apponly'!$K$2:$K$7</c:f>
              <c:numCache>
                <c:formatCode>0.00</c:formatCode>
                <c:ptCount val="6"/>
                <c:pt idx="1">
                  <c:v>2.9999999999999916E-2</c:v>
                </c:pt>
                <c:pt idx="2">
                  <c:v>0</c:v>
                </c:pt>
                <c:pt idx="3">
                  <c:v>0</c:v>
                </c:pt>
                <c:pt idx="4">
                  <c:v>1.0000000000000009E-2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B-2845-B79D-49A7A4F3575F}"/>
            </c:ext>
          </c:extLst>
        </c:ser>
        <c:ser>
          <c:idx val="1"/>
          <c:order val="1"/>
          <c:tx>
            <c:strRef>
              <c:f>'2016-2022 STAAR all sub apponly'!$L$1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95B-2845-B79D-49A7A4F3575F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A5-5A49-B9AA-0E3E83B7D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apponly'!$L$2:$L$7</c:f>
              <c:numCache>
                <c:formatCode>0.00</c:formatCode>
                <c:ptCount val="6"/>
                <c:pt idx="1">
                  <c:v>2.6135999999999947E-2</c:v>
                </c:pt>
                <c:pt idx="2">
                  <c:v>2.6135999999999947E-2</c:v>
                </c:pt>
                <c:pt idx="3">
                  <c:v>2.6135999999999947E-2</c:v>
                </c:pt>
                <c:pt idx="4">
                  <c:v>2.6135999999999947E-2</c:v>
                </c:pt>
                <c:pt idx="5">
                  <c:v>2.6135999999999947E-2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5B-2845-B79D-49A7A4F3575F}"/>
            </c:ext>
          </c:extLst>
        </c:ser>
        <c:ser>
          <c:idx val="2"/>
          <c:order val="2"/>
          <c:tx>
            <c:strRef>
              <c:f>'2016-2022 STAAR all sub apponly'!$M$1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apponly'!$M$2:$M$7</c:f>
              <c:numCache>
                <c:formatCode>0.00</c:formatCode>
                <c:ptCount val="6"/>
                <c:pt idx="1">
                  <c:v>2.0090666666666625E-2</c:v>
                </c:pt>
                <c:pt idx="2">
                  <c:v>2.0090666666666625E-2</c:v>
                </c:pt>
                <c:pt idx="3">
                  <c:v>2.0090666666666625E-2</c:v>
                </c:pt>
                <c:pt idx="4">
                  <c:v>2.0090666666666625E-2</c:v>
                </c:pt>
                <c:pt idx="5">
                  <c:v>2.0090666666666625E-2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5B-2845-B79D-49A7A4F3575F}"/>
            </c:ext>
          </c:extLst>
        </c:ser>
        <c:ser>
          <c:idx val="3"/>
          <c:order val="3"/>
          <c:tx>
            <c:strRef>
              <c:f>'2016-2022 STAAR all sub apponly'!$N$1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apponly'!$N$2:$N$7</c:f>
              <c:numCache>
                <c:formatCode>0.00</c:formatCode>
                <c:ptCount val="6"/>
                <c:pt idx="1">
                  <c:v>1.4045333333333306E-2</c:v>
                </c:pt>
                <c:pt idx="2">
                  <c:v>1.4045333333333306E-2</c:v>
                </c:pt>
                <c:pt idx="3">
                  <c:v>1.4045333333333306E-2</c:v>
                </c:pt>
                <c:pt idx="4">
                  <c:v>1.4045333333333306E-2</c:v>
                </c:pt>
                <c:pt idx="5">
                  <c:v>1.4045333333333306E-2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5B-2845-B79D-49A7A4F3575F}"/>
            </c:ext>
          </c:extLst>
        </c:ser>
        <c:ser>
          <c:idx val="4"/>
          <c:order val="4"/>
          <c:tx>
            <c:strRef>
              <c:f>'2016-2022 STAAR all sub apponly'!$O$1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95B-2845-B79D-49A7A4F3575F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A5-5A49-B9AA-0E3E83B7D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apponly'!$O$2:$O$7</c:f>
              <c:numCache>
                <c:formatCode>0.00</c:formatCode>
                <c:ptCount val="6"/>
                <c:pt idx="0">
                  <c:v>7.9999999999999846E-3</c:v>
                </c:pt>
                <c:pt idx="1">
                  <c:v>7.9999999999999846E-3</c:v>
                </c:pt>
                <c:pt idx="2">
                  <c:v>7.9999999999999846E-3</c:v>
                </c:pt>
                <c:pt idx="3">
                  <c:v>7.9999999999999846E-3</c:v>
                </c:pt>
                <c:pt idx="4">
                  <c:v>7.9999999999999846E-3</c:v>
                </c:pt>
                <c:pt idx="5">
                  <c:v>7.9999999999999846E-3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5B-2845-B79D-49A7A4F3575F}"/>
            </c:ext>
          </c:extLst>
        </c:ser>
        <c:ser>
          <c:idx val="5"/>
          <c:order val="5"/>
          <c:tx>
            <c:strRef>
              <c:f>'2016-2022 STAAR all sub apponly'!$P$1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apponly'!$P$2:$P$7</c:f>
              <c:numCache>
                <c:formatCode>0.00</c:formatCode>
                <c:ptCount val="6"/>
                <c:pt idx="1">
                  <c:v>1.9546666666666636E-3</c:v>
                </c:pt>
                <c:pt idx="2">
                  <c:v>1.9546666666666636E-3</c:v>
                </c:pt>
                <c:pt idx="3">
                  <c:v>1.9546666666666636E-3</c:v>
                </c:pt>
                <c:pt idx="4">
                  <c:v>1.9546666666666636E-3</c:v>
                </c:pt>
                <c:pt idx="5">
                  <c:v>1.9546666666666636E-3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5B-2845-B79D-49A7A4F3575F}"/>
            </c:ext>
          </c:extLst>
        </c:ser>
        <c:ser>
          <c:idx val="6"/>
          <c:order val="6"/>
          <c:tx>
            <c:strRef>
              <c:f>'2016-2022 STAAR all sub apponly'!$Q$1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5B-2845-B79D-49A7A4F3575F}"/>
            </c:ext>
          </c:extLst>
        </c:ser>
        <c:ser>
          <c:idx val="7"/>
          <c:order val="7"/>
          <c:tx>
            <c:strRef>
              <c:f>'2016-2022 STAAR all sub apponly'!$R$1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5B-2845-B79D-49A7A4F3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778047"/>
        <c:axId val="1761216879"/>
      </c:lineChart>
      <c:catAx>
        <c:axId val="186277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216879"/>
        <c:crosses val="autoZero"/>
        <c:auto val="0"/>
        <c:lblAlgn val="ctr"/>
        <c:lblOffset val="100"/>
        <c:noMultiLvlLbl val="0"/>
      </c:catAx>
      <c:valAx>
        <c:axId val="1761216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6277804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2016-2022 STAAR all-subj 'approaches_only'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 sub apponly'!$B$1</c:f>
              <c:strCache>
                <c:ptCount val="1"/>
                <c:pt idx="0">
                  <c:v>approaches_only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apponly'!$B$2:$B$7</c:f>
              <c:numCache>
                <c:formatCode>0.00</c:formatCode>
                <c:ptCount val="6"/>
                <c:pt idx="0">
                  <c:v>0.28999999999999992</c:v>
                </c:pt>
                <c:pt idx="1">
                  <c:v>0.26</c:v>
                </c:pt>
                <c:pt idx="2">
                  <c:v>0.26</c:v>
                </c:pt>
                <c:pt idx="3">
                  <c:v>0.26</c:v>
                </c:pt>
                <c:pt idx="4">
                  <c:v>0.27</c:v>
                </c:pt>
                <c:pt idx="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A-934D-B9B2-261C95C9E663}"/>
            </c:ext>
          </c:extLst>
        </c:ser>
        <c:ser>
          <c:idx val="1"/>
          <c:order val="1"/>
          <c:tx>
            <c:strRef>
              <c:f>'2016-2022 STAAR all sub apponly'!$C$1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6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67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apponly'!$C$2:$C$7</c:f>
              <c:numCache>
                <c:formatCode>0.00</c:formatCode>
                <c:ptCount val="6"/>
                <c:pt idx="0">
                  <c:v>0.28961333333333328</c:v>
                </c:pt>
                <c:pt idx="1">
                  <c:v>0.28961333333333328</c:v>
                </c:pt>
                <c:pt idx="2">
                  <c:v>0.28961333333333328</c:v>
                </c:pt>
                <c:pt idx="3">
                  <c:v>0.28961333333333328</c:v>
                </c:pt>
                <c:pt idx="4">
                  <c:v>0.28961333333333328</c:v>
                </c:pt>
                <c:pt idx="5">
                  <c:v>0.28961333333333328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2A-934D-B9B2-261C95C9E663}"/>
            </c:ext>
          </c:extLst>
        </c:ser>
        <c:ser>
          <c:idx val="2"/>
          <c:order val="2"/>
          <c:tx>
            <c:strRef>
              <c:f>'2016-2022 STAAR all sub apponly'!$D$1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apponly'!$D$2:$D$7</c:f>
              <c:numCache>
                <c:formatCode>0.00</c:formatCode>
                <c:ptCount val="6"/>
                <c:pt idx="0">
                  <c:v>0.28251999999999994</c:v>
                </c:pt>
                <c:pt idx="1">
                  <c:v>0.28251999999999994</c:v>
                </c:pt>
                <c:pt idx="2">
                  <c:v>0.28251999999999994</c:v>
                </c:pt>
                <c:pt idx="3">
                  <c:v>0.28251999999999994</c:v>
                </c:pt>
                <c:pt idx="4">
                  <c:v>0.28251999999999994</c:v>
                </c:pt>
                <c:pt idx="5">
                  <c:v>0.28251999999999994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2A-934D-B9B2-261C95C9E663}"/>
            </c:ext>
          </c:extLst>
        </c:ser>
        <c:ser>
          <c:idx val="3"/>
          <c:order val="3"/>
          <c:tx>
            <c:strRef>
              <c:f>'2016-2022 STAAR all sub apponly'!$E$1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apponly'!$E$2:$E$7</c:f>
              <c:numCache>
                <c:formatCode>0.00</c:formatCode>
                <c:ptCount val="6"/>
                <c:pt idx="0">
                  <c:v>0.27542666666666665</c:v>
                </c:pt>
                <c:pt idx="1">
                  <c:v>0.27542666666666665</c:v>
                </c:pt>
                <c:pt idx="2">
                  <c:v>0.27542666666666665</c:v>
                </c:pt>
                <c:pt idx="3">
                  <c:v>0.27542666666666665</c:v>
                </c:pt>
                <c:pt idx="4">
                  <c:v>0.27542666666666665</c:v>
                </c:pt>
                <c:pt idx="5">
                  <c:v>0.27542666666666665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2A-934D-B9B2-261C95C9E663}"/>
            </c:ext>
          </c:extLst>
        </c:ser>
        <c:ser>
          <c:idx val="4"/>
          <c:order val="4"/>
          <c:tx>
            <c:strRef>
              <c:f>'2016-2022 STAAR all sub apponly'!$F$1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apponly'!$F$2:$F$7</c:f>
              <c:numCache>
                <c:formatCode>0.00</c:formatCode>
                <c:ptCount val="6"/>
                <c:pt idx="0">
                  <c:v>0.26833333333333331</c:v>
                </c:pt>
                <c:pt idx="1">
                  <c:v>0.26833333333333331</c:v>
                </c:pt>
                <c:pt idx="2">
                  <c:v>0.26833333333333331</c:v>
                </c:pt>
                <c:pt idx="3">
                  <c:v>0.26833333333333331</c:v>
                </c:pt>
                <c:pt idx="4">
                  <c:v>0.26833333333333331</c:v>
                </c:pt>
                <c:pt idx="5">
                  <c:v>0.26833333333333331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2A-934D-B9B2-261C95C9E663}"/>
            </c:ext>
          </c:extLst>
        </c:ser>
        <c:ser>
          <c:idx val="5"/>
          <c:order val="5"/>
          <c:tx>
            <c:strRef>
              <c:f>'2016-2022 STAAR all sub apponly'!$G$1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apponly'!$G$2:$G$7</c:f>
              <c:numCache>
                <c:formatCode>0.00</c:formatCode>
                <c:ptCount val="6"/>
                <c:pt idx="0">
                  <c:v>0.26123999999999997</c:v>
                </c:pt>
                <c:pt idx="1">
                  <c:v>0.26123999999999997</c:v>
                </c:pt>
                <c:pt idx="2">
                  <c:v>0.26123999999999997</c:v>
                </c:pt>
                <c:pt idx="3">
                  <c:v>0.26123999999999997</c:v>
                </c:pt>
                <c:pt idx="4">
                  <c:v>0.26123999999999997</c:v>
                </c:pt>
                <c:pt idx="5">
                  <c:v>0.26123999999999997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2A-934D-B9B2-261C95C9E663}"/>
            </c:ext>
          </c:extLst>
        </c:ser>
        <c:ser>
          <c:idx val="6"/>
          <c:order val="6"/>
          <c:tx>
            <c:strRef>
              <c:f>'2016-2022 STAAR all sub apponly'!$H$1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apponly'!$H$2:$H$7</c:f>
              <c:numCache>
                <c:formatCode>0.00</c:formatCode>
                <c:ptCount val="6"/>
                <c:pt idx="0">
                  <c:v>0.25414666666666669</c:v>
                </c:pt>
                <c:pt idx="1">
                  <c:v>0.25414666666666669</c:v>
                </c:pt>
                <c:pt idx="2">
                  <c:v>0.25414666666666669</c:v>
                </c:pt>
                <c:pt idx="3">
                  <c:v>0.25414666666666669</c:v>
                </c:pt>
                <c:pt idx="4">
                  <c:v>0.25414666666666669</c:v>
                </c:pt>
                <c:pt idx="5">
                  <c:v>0.25414666666666669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2A-934D-B9B2-261C95C9E663}"/>
            </c:ext>
          </c:extLst>
        </c:ser>
        <c:ser>
          <c:idx val="7"/>
          <c:order val="7"/>
          <c:tx>
            <c:strRef>
              <c:f>'2016-2022 STAAR all sub apponly'!$I$1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7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3078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 sub apponly'!$I$2:$I$7</c:f>
              <c:numCache>
                <c:formatCode>0.00</c:formatCode>
                <c:ptCount val="6"/>
                <c:pt idx="0">
                  <c:v>0.24705333333333335</c:v>
                </c:pt>
                <c:pt idx="1">
                  <c:v>0.24705333333333335</c:v>
                </c:pt>
                <c:pt idx="2">
                  <c:v>0.24705333333333335</c:v>
                </c:pt>
                <c:pt idx="3">
                  <c:v>0.24705333333333335</c:v>
                </c:pt>
                <c:pt idx="4">
                  <c:v>0.24705333333333335</c:v>
                </c:pt>
                <c:pt idx="5">
                  <c:v>0.24705333333333335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2A-934D-B9B2-261C95C9E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602751"/>
        <c:axId val="1864604479"/>
      </c:lineChart>
      <c:catAx>
        <c:axId val="1864602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604479"/>
        <c:crossesAt val="-0.1"/>
        <c:auto val="0"/>
        <c:lblAlgn val="ctr"/>
        <c:lblOffset val="100"/>
        <c:noMultiLvlLbl val="0"/>
      </c:catAx>
      <c:valAx>
        <c:axId val="1864604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6460275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E2273AD-E4EA-A45C-6E6B-C1FBEB89D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C1F9A27-2FAF-FBED-1DEE-2BA9BACF7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0.2266</cdr:x>
      <cdr:y>0.63205</cdr:y>
    </cdr:from>
    <cdr:to>
      <cdr:x>0.85278</cdr:x>
      <cdr:y>0.80164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EB59314-3B20-D8DD-13CE-C205F4378E85}"/>
            </a:ext>
          </a:extLst>
        </cdr:cNvPr>
        <cdr:cNvSpPr txBox="1"/>
      </cdr:nvSpPr>
      <cdr:spPr>
        <a:xfrm xmlns:a="http://schemas.openxmlformats.org/drawingml/2006/main">
          <a:off x="1891808" y="2128086"/>
          <a:ext cx="5227674" cy="5710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i="0" baseline="0">
              <a:solidFill>
                <a:srgbClr val="FF0000"/>
              </a:solidFill>
            </a:rPr>
            <a:t>There are no meaningful differences between these measurements!  SCUC-ISD responses to COVID were EFFECTIVE.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8003DFD-7973-D6ED-A219-284876ED3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F398417-2869-A49C-7AB8-9179B66FF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0.22896</cdr:x>
      <cdr:y>0.6262</cdr:y>
    </cdr:from>
    <cdr:to>
      <cdr:x>0.85514</cdr:x>
      <cdr:y>0.79579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056D5079-8F0D-20F6-1B2C-90972B50777B}"/>
            </a:ext>
          </a:extLst>
        </cdr:cNvPr>
        <cdr:cNvSpPr txBox="1"/>
      </cdr:nvSpPr>
      <cdr:spPr>
        <a:xfrm xmlns:a="http://schemas.openxmlformats.org/drawingml/2006/main">
          <a:off x="1911498" y="2108397"/>
          <a:ext cx="5227674" cy="5710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i="0" baseline="0">
              <a:solidFill>
                <a:srgbClr val="FF0000"/>
              </a:solidFill>
            </a:rPr>
            <a:t>There are no statistical differences between these measurements!  SCUC-ISD responses to COVID were EFFECTIVE.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024F-6980-7E4E-85CD-1A2FCBE1A296}">
  <sheetPr>
    <tabColor rgb="FF66FF66"/>
    <pageSetUpPr fitToPage="1"/>
  </sheetPr>
  <dimension ref="A1:R52"/>
  <sheetViews>
    <sheetView tabSelected="1" zoomScale="129" zoomScaleNormal="129" workbookViewId="0">
      <selection activeCell="S8" sqref="S8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12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1">
        <v>2016</v>
      </c>
      <c r="B2" s="3">
        <v>0.82</v>
      </c>
      <c r="C2" s="3">
        <f t="shared" ref="C2:C27" ca="1" si="0">F2+2.66*O2</f>
        <v>0.87352000000000007</v>
      </c>
      <c r="D2" s="3">
        <f t="shared" ref="D2:D27" ca="1" si="1">F2+(2/3)*2.66*O2</f>
        <v>0.8540133333333334</v>
      </c>
      <c r="E2" s="3">
        <f t="shared" ref="E2:E27" ca="1" si="2">F2+(1/3)*2.66*O2</f>
        <v>0.83450666666666673</v>
      </c>
      <c r="F2" s="3">
        <f t="shared" ref="F2:F27" si="3">AVERAGE($B$2:$B$7)</f>
        <v>0.81500000000000006</v>
      </c>
      <c r="G2" s="3">
        <f t="shared" ref="G2:G27" ca="1" si="4">F2-(1/3)*2.66*O2</f>
        <v>0.79549333333333339</v>
      </c>
      <c r="H2" s="3">
        <f t="shared" ref="H2:H27" ca="1" si="5">F2-(2/3)*2.66*O2</f>
        <v>0.77598666666666671</v>
      </c>
      <c r="I2" s="3">
        <f t="shared" ref="I2:I27" ca="1" si="6">F2-2.66*O2</f>
        <v>0.75648000000000004</v>
      </c>
      <c r="J2">
        <f>B2</f>
        <v>0.82</v>
      </c>
      <c r="K2" s="3"/>
      <c r="L2" s="3"/>
      <c r="M2" s="3"/>
      <c r="N2" s="3"/>
      <c r="O2" s="3">
        <f t="shared" ref="O2:O27" ca="1" si="7">AVERAGE($K$2:$K$7)</f>
        <v>2.1999999999999999E-2</v>
      </c>
      <c r="P2" s="3"/>
      <c r="Q2" s="3"/>
      <c r="R2" s="3"/>
    </row>
    <row r="3" spans="1:18" ht="14" customHeight="1" x14ac:dyDescent="0.3">
      <c r="A3" s="1">
        <v>2017</v>
      </c>
      <c r="B3" s="3">
        <v>0.84</v>
      </c>
      <c r="C3" s="3">
        <f t="shared" ca="1" si="0"/>
        <v>0.87352000000000007</v>
      </c>
      <c r="D3" s="3">
        <f t="shared" ca="1" si="1"/>
        <v>0.8540133333333334</v>
      </c>
      <c r="E3" s="3">
        <f t="shared" ca="1" si="2"/>
        <v>0.83450666666666673</v>
      </c>
      <c r="F3" s="3">
        <f t="shared" si="3"/>
        <v>0.81500000000000006</v>
      </c>
      <c r="G3" s="3">
        <f t="shared" ca="1" si="4"/>
        <v>0.79549333333333339</v>
      </c>
      <c r="H3" s="3">
        <f t="shared" ca="1" si="5"/>
        <v>0.77598666666666671</v>
      </c>
      <c r="I3" s="3">
        <f t="shared" ca="1" si="6"/>
        <v>0.75648000000000004</v>
      </c>
      <c r="J3">
        <f t="shared" ref="J3:J27" ca="1" si="8">IF(ISBLANK(B3),OFFSET(J3,-1,0,1,1),B3)</f>
        <v>0.84</v>
      </c>
      <c r="K3" s="3">
        <f t="shared" ref="K3:K27" ca="1" si="9">IF(OR(OFFSET(K3,-1,-9,1,1)="",OFFSET(K3,0,-9,1,1)=""),"",IF(ISERROR(ABS(B3-OFFSET(K3,-1,-1,1,1))),"",ABS(B3-OFFSET(K3,-1,-1,1,1))))</f>
        <v>2.0000000000000018E-2</v>
      </c>
      <c r="L3" s="3">
        <f t="shared" ref="L3:L27" ca="1" si="10">3.267*O3</f>
        <v>7.1873999999999993E-2</v>
      </c>
      <c r="M3" s="3">
        <f t="shared" ref="M3:M27" ca="1" si="11">(2/3)*(L3-O3)+O3</f>
        <v>5.5249333333333324E-2</v>
      </c>
      <c r="N3" s="3">
        <f t="shared" ref="N3:N27" ca="1" si="12">(1/3)*(L3-O3)+O3</f>
        <v>3.8624666666666661E-2</v>
      </c>
      <c r="O3" s="3">
        <f t="shared" ca="1" si="7"/>
        <v>2.1999999999999999E-2</v>
      </c>
      <c r="P3" s="3">
        <f t="shared" ref="P3:P27" ca="1" si="13">(MAX(O3-(1/3)*(L3-O3),0))</f>
        <v>5.3753333333333361E-3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1">
        <v>2018</v>
      </c>
      <c r="B4" s="3">
        <v>0.84</v>
      </c>
      <c r="C4" s="3">
        <f t="shared" ca="1" si="0"/>
        <v>0.87352000000000007</v>
      </c>
      <c r="D4" s="3">
        <f t="shared" ca="1" si="1"/>
        <v>0.8540133333333334</v>
      </c>
      <c r="E4" s="3">
        <f t="shared" ca="1" si="2"/>
        <v>0.83450666666666673</v>
      </c>
      <c r="F4" s="3">
        <f t="shared" si="3"/>
        <v>0.81500000000000006</v>
      </c>
      <c r="G4" s="3">
        <f t="shared" ca="1" si="4"/>
        <v>0.79549333333333339</v>
      </c>
      <c r="H4" s="3">
        <f t="shared" ca="1" si="5"/>
        <v>0.77598666666666671</v>
      </c>
      <c r="I4" s="3">
        <f t="shared" ca="1" si="6"/>
        <v>0.75648000000000004</v>
      </c>
      <c r="J4">
        <f t="shared" ca="1" si="8"/>
        <v>0.84</v>
      </c>
      <c r="K4" s="3">
        <f t="shared" ca="1" si="9"/>
        <v>0</v>
      </c>
      <c r="L4" s="3">
        <f t="shared" ca="1" si="10"/>
        <v>7.1873999999999993E-2</v>
      </c>
      <c r="M4" s="3">
        <f t="shared" ca="1" si="11"/>
        <v>5.5249333333333324E-2</v>
      </c>
      <c r="N4" s="3">
        <f t="shared" ca="1" si="12"/>
        <v>3.8624666666666661E-2</v>
      </c>
      <c r="O4" s="3">
        <f t="shared" ca="1" si="7"/>
        <v>2.1999999999999999E-2</v>
      </c>
      <c r="P4" s="3">
        <f t="shared" ca="1" si="13"/>
        <v>5.3753333333333361E-3</v>
      </c>
      <c r="Q4" s="3">
        <f t="shared" ca="1" si="14"/>
        <v>0</v>
      </c>
      <c r="R4" s="3">
        <v>0</v>
      </c>
    </row>
    <row r="5" spans="1:18" ht="14" customHeight="1" x14ac:dyDescent="0.3">
      <c r="A5" s="1">
        <v>2020</v>
      </c>
      <c r="B5" s="3">
        <v>0.78</v>
      </c>
      <c r="C5" s="4">
        <f t="shared" ca="1" si="0"/>
        <v>0.87352000000000007</v>
      </c>
      <c r="D5" s="4">
        <f t="shared" ca="1" si="1"/>
        <v>0.8540133333333334</v>
      </c>
      <c r="E5" s="4">
        <f t="shared" ca="1" si="2"/>
        <v>0.83450666666666673</v>
      </c>
      <c r="F5" s="4">
        <f t="shared" si="3"/>
        <v>0.81500000000000006</v>
      </c>
      <c r="G5" s="4">
        <f t="shared" ca="1" si="4"/>
        <v>0.79549333333333339</v>
      </c>
      <c r="H5" s="4">
        <f t="shared" ca="1" si="5"/>
        <v>0.77598666666666671</v>
      </c>
      <c r="I5" s="4">
        <f t="shared" ca="1" si="6"/>
        <v>0.75648000000000004</v>
      </c>
      <c r="J5" s="5">
        <f t="shared" ca="1" si="8"/>
        <v>0.78</v>
      </c>
      <c r="K5" s="4">
        <f t="shared" ca="1" si="9"/>
        <v>5.9999999999999942E-2</v>
      </c>
      <c r="L5" s="3">
        <f t="shared" ca="1" si="10"/>
        <v>7.1873999999999993E-2</v>
      </c>
      <c r="M5" s="3">
        <f t="shared" ca="1" si="11"/>
        <v>5.5249333333333324E-2</v>
      </c>
      <c r="N5" s="3">
        <f t="shared" ca="1" si="12"/>
        <v>3.8624666666666661E-2</v>
      </c>
      <c r="O5" s="3">
        <f t="shared" ca="1" si="7"/>
        <v>2.1999999999999999E-2</v>
      </c>
      <c r="P5" s="3">
        <f t="shared" ca="1" si="13"/>
        <v>5.3753333333333361E-3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3">
        <v>0.8</v>
      </c>
      <c r="C6" s="3">
        <f t="shared" ca="1" si="0"/>
        <v>0.87352000000000007</v>
      </c>
      <c r="D6" s="3">
        <f t="shared" ca="1" si="1"/>
        <v>0.8540133333333334</v>
      </c>
      <c r="E6" s="3">
        <f t="shared" ca="1" si="2"/>
        <v>0.83450666666666673</v>
      </c>
      <c r="F6" s="3">
        <f t="shared" si="3"/>
        <v>0.81500000000000006</v>
      </c>
      <c r="G6" s="3">
        <f t="shared" ca="1" si="4"/>
        <v>0.79549333333333339</v>
      </c>
      <c r="H6" s="3">
        <f t="shared" ca="1" si="5"/>
        <v>0.77598666666666671</v>
      </c>
      <c r="I6" s="3">
        <f t="shared" ca="1" si="6"/>
        <v>0.75648000000000004</v>
      </c>
      <c r="J6">
        <f t="shared" ca="1" si="8"/>
        <v>0.8</v>
      </c>
      <c r="K6" s="3">
        <f t="shared" ca="1" si="9"/>
        <v>2.0000000000000018E-2</v>
      </c>
      <c r="L6" s="3">
        <f t="shared" ca="1" si="10"/>
        <v>7.1873999999999993E-2</v>
      </c>
      <c r="M6" s="3">
        <f t="shared" ca="1" si="11"/>
        <v>5.5249333333333324E-2</v>
      </c>
      <c r="N6" s="3">
        <f t="shared" ca="1" si="12"/>
        <v>3.8624666666666661E-2</v>
      </c>
      <c r="O6" s="3">
        <f t="shared" ca="1" si="7"/>
        <v>2.1999999999999999E-2</v>
      </c>
      <c r="P6" s="3">
        <f t="shared" ca="1" si="13"/>
        <v>5.3753333333333361E-3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3">
        <v>0.81</v>
      </c>
      <c r="C7" s="3">
        <f t="shared" ca="1" si="0"/>
        <v>0.87352000000000007</v>
      </c>
      <c r="D7" s="3">
        <f t="shared" ca="1" si="1"/>
        <v>0.8540133333333334</v>
      </c>
      <c r="E7" s="3">
        <f t="shared" ca="1" si="2"/>
        <v>0.83450666666666673</v>
      </c>
      <c r="F7" s="3">
        <f t="shared" si="3"/>
        <v>0.81500000000000006</v>
      </c>
      <c r="G7" s="3">
        <f t="shared" ca="1" si="4"/>
        <v>0.79549333333333339</v>
      </c>
      <c r="H7" s="3">
        <f t="shared" ca="1" si="5"/>
        <v>0.77598666666666671</v>
      </c>
      <c r="I7" s="3">
        <f t="shared" ca="1" si="6"/>
        <v>0.75648000000000004</v>
      </c>
      <c r="J7">
        <f t="shared" ca="1" si="8"/>
        <v>0.81</v>
      </c>
      <c r="K7" s="3">
        <f t="shared" ca="1" si="9"/>
        <v>1.0000000000000009E-2</v>
      </c>
      <c r="L7" s="3">
        <f t="shared" ca="1" si="10"/>
        <v>7.1873999999999993E-2</v>
      </c>
      <c r="M7" s="3">
        <f t="shared" ca="1" si="11"/>
        <v>5.5249333333333324E-2</v>
      </c>
      <c r="N7" s="3">
        <f t="shared" ca="1" si="12"/>
        <v>3.8624666666666661E-2</v>
      </c>
      <c r="O7" s="3">
        <f t="shared" ca="1" si="7"/>
        <v>2.1999999999999999E-2</v>
      </c>
      <c r="P7" s="3">
        <f t="shared" ca="1" si="13"/>
        <v>5.3753333333333361E-3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0.87352000000000007</v>
      </c>
      <c r="D8" s="3">
        <f t="shared" ca="1" si="1"/>
        <v>0.8540133333333334</v>
      </c>
      <c r="E8" s="3">
        <f t="shared" ca="1" si="2"/>
        <v>0.83450666666666673</v>
      </c>
      <c r="F8" s="3">
        <f t="shared" si="3"/>
        <v>0.81500000000000006</v>
      </c>
      <c r="G8" s="3">
        <f t="shared" ca="1" si="4"/>
        <v>0.79549333333333339</v>
      </c>
      <c r="H8" s="3">
        <f t="shared" ca="1" si="5"/>
        <v>0.77598666666666671</v>
      </c>
      <c r="I8" s="3">
        <f t="shared" ca="1" si="6"/>
        <v>0.75648000000000004</v>
      </c>
      <c r="J8">
        <f t="shared" ca="1" si="8"/>
        <v>0.81</v>
      </c>
      <c r="K8" t="str">
        <f t="shared" ca="1" si="9"/>
        <v/>
      </c>
      <c r="L8">
        <f t="shared" ca="1" si="10"/>
        <v>7.1873999999999993E-2</v>
      </c>
      <c r="M8">
        <f t="shared" ca="1" si="11"/>
        <v>5.5249333333333324E-2</v>
      </c>
      <c r="N8">
        <f t="shared" ca="1" si="12"/>
        <v>3.8624666666666661E-2</v>
      </c>
      <c r="O8" s="3">
        <f t="shared" ca="1" si="7"/>
        <v>2.1999999999999999E-2</v>
      </c>
      <c r="P8">
        <f t="shared" ca="1" si="13"/>
        <v>5.3753333333333361E-3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0.87352000000000007</v>
      </c>
      <c r="D9" s="3">
        <f t="shared" ca="1" si="1"/>
        <v>0.8540133333333334</v>
      </c>
      <c r="E9" s="3">
        <f t="shared" ca="1" si="2"/>
        <v>0.83450666666666673</v>
      </c>
      <c r="F9" s="3">
        <f t="shared" si="3"/>
        <v>0.81500000000000006</v>
      </c>
      <c r="G9" s="3">
        <f t="shared" ca="1" si="4"/>
        <v>0.79549333333333339</v>
      </c>
      <c r="H9" s="3">
        <f t="shared" ca="1" si="5"/>
        <v>0.77598666666666671</v>
      </c>
      <c r="I9" s="3">
        <f t="shared" ca="1" si="6"/>
        <v>0.75648000000000004</v>
      </c>
      <c r="J9">
        <f t="shared" ca="1" si="8"/>
        <v>0.81</v>
      </c>
      <c r="K9" t="str">
        <f t="shared" ca="1" si="9"/>
        <v/>
      </c>
      <c r="L9">
        <f t="shared" ca="1" si="10"/>
        <v>7.1873999999999993E-2</v>
      </c>
      <c r="M9">
        <f t="shared" ca="1" si="11"/>
        <v>5.5249333333333324E-2</v>
      </c>
      <c r="N9">
        <f t="shared" ca="1" si="12"/>
        <v>3.8624666666666661E-2</v>
      </c>
      <c r="O9" s="3">
        <f t="shared" ca="1" si="7"/>
        <v>2.1999999999999999E-2</v>
      </c>
      <c r="P9">
        <f t="shared" ca="1" si="13"/>
        <v>5.3753333333333361E-3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0.87352000000000007</v>
      </c>
      <c r="D10" s="3">
        <f t="shared" ca="1" si="1"/>
        <v>0.8540133333333334</v>
      </c>
      <c r="E10" s="3">
        <f t="shared" ca="1" si="2"/>
        <v>0.83450666666666673</v>
      </c>
      <c r="F10" s="3">
        <f t="shared" si="3"/>
        <v>0.81500000000000006</v>
      </c>
      <c r="G10" s="3">
        <f t="shared" ca="1" si="4"/>
        <v>0.79549333333333339</v>
      </c>
      <c r="H10" s="3">
        <f t="shared" ca="1" si="5"/>
        <v>0.77598666666666671</v>
      </c>
      <c r="I10" s="3">
        <f t="shared" ca="1" si="6"/>
        <v>0.75648000000000004</v>
      </c>
      <c r="J10">
        <f t="shared" ca="1" si="8"/>
        <v>0.81</v>
      </c>
      <c r="K10" t="str">
        <f t="shared" ca="1" si="9"/>
        <v/>
      </c>
      <c r="L10">
        <f t="shared" ca="1" si="10"/>
        <v>7.1873999999999993E-2</v>
      </c>
      <c r="M10">
        <f t="shared" ca="1" si="11"/>
        <v>5.5249333333333324E-2</v>
      </c>
      <c r="N10">
        <f t="shared" ca="1" si="12"/>
        <v>3.8624666666666661E-2</v>
      </c>
      <c r="O10" s="3">
        <f t="shared" ca="1" si="7"/>
        <v>2.1999999999999999E-2</v>
      </c>
      <c r="P10">
        <f t="shared" ca="1" si="13"/>
        <v>5.3753333333333361E-3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0.87352000000000007</v>
      </c>
      <c r="D11" s="3">
        <f t="shared" ca="1" si="1"/>
        <v>0.8540133333333334</v>
      </c>
      <c r="E11" s="3">
        <f t="shared" ca="1" si="2"/>
        <v>0.83450666666666673</v>
      </c>
      <c r="F11" s="3">
        <f t="shared" si="3"/>
        <v>0.81500000000000006</v>
      </c>
      <c r="G11" s="3">
        <f t="shared" ca="1" si="4"/>
        <v>0.79549333333333339</v>
      </c>
      <c r="H11" s="3">
        <f t="shared" ca="1" si="5"/>
        <v>0.77598666666666671</v>
      </c>
      <c r="I11" s="3">
        <f t="shared" ca="1" si="6"/>
        <v>0.75648000000000004</v>
      </c>
      <c r="J11">
        <f t="shared" ca="1" si="8"/>
        <v>0.81</v>
      </c>
      <c r="K11" t="str">
        <f t="shared" ca="1" si="9"/>
        <v/>
      </c>
      <c r="L11">
        <f t="shared" ca="1" si="10"/>
        <v>7.1873999999999993E-2</v>
      </c>
      <c r="M11">
        <f t="shared" ca="1" si="11"/>
        <v>5.5249333333333324E-2</v>
      </c>
      <c r="N11">
        <f t="shared" ca="1" si="12"/>
        <v>3.8624666666666661E-2</v>
      </c>
      <c r="O11" s="3">
        <f t="shared" ca="1" si="7"/>
        <v>2.1999999999999999E-2</v>
      </c>
      <c r="P11">
        <f t="shared" ca="1" si="13"/>
        <v>5.3753333333333361E-3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0.87352000000000007</v>
      </c>
      <c r="D12" s="3">
        <f t="shared" ca="1" si="1"/>
        <v>0.8540133333333334</v>
      </c>
      <c r="E12" s="3">
        <f t="shared" ca="1" si="2"/>
        <v>0.83450666666666673</v>
      </c>
      <c r="F12" s="3">
        <f t="shared" si="3"/>
        <v>0.81500000000000006</v>
      </c>
      <c r="G12" s="3">
        <f t="shared" ca="1" si="4"/>
        <v>0.79549333333333339</v>
      </c>
      <c r="H12" s="3">
        <f t="shared" ca="1" si="5"/>
        <v>0.77598666666666671</v>
      </c>
      <c r="I12" s="3">
        <f t="shared" ca="1" si="6"/>
        <v>0.75648000000000004</v>
      </c>
      <c r="J12">
        <f t="shared" ca="1" si="8"/>
        <v>0.81</v>
      </c>
      <c r="K12" t="str">
        <f t="shared" ca="1" si="9"/>
        <v/>
      </c>
      <c r="L12">
        <f t="shared" ca="1" si="10"/>
        <v>7.1873999999999993E-2</v>
      </c>
      <c r="M12">
        <f t="shared" ca="1" si="11"/>
        <v>5.5249333333333324E-2</v>
      </c>
      <c r="N12">
        <f t="shared" ca="1" si="12"/>
        <v>3.8624666666666661E-2</v>
      </c>
      <c r="O12" s="3">
        <f t="shared" ca="1" si="7"/>
        <v>2.1999999999999999E-2</v>
      </c>
      <c r="P12">
        <f t="shared" ca="1" si="13"/>
        <v>5.3753333333333361E-3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0.87352000000000007</v>
      </c>
      <c r="D13" s="3">
        <f t="shared" ca="1" si="1"/>
        <v>0.8540133333333334</v>
      </c>
      <c r="E13" s="3">
        <f t="shared" ca="1" si="2"/>
        <v>0.83450666666666673</v>
      </c>
      <c r="F13" s="3">
        <f t="shared" si="3"/>
        <v>0.81500000000000006</v>
      </c>
      <c r="G13" s="3">
        <f t="shared" ca="1" si="4"/>
        <v>0.79549333333333339</v>
      </c>
      <c r="H13" s="3">
        <f t="shared" ca="1" si="5"/>
        <v>0.77598666666666671</v>
      </c>
      <c r="I13" s="3">
        <f t="shared" ca="1" si="6"/>
        <v>0.75648000000000004</v>
      </c>
      <c r="J13">
        <f t="shared" ca="1" si="8"/>
        <v>0.81</v>
      </c>
      <c r="K13" t="str">
        <f t="shared" ca="1" si="9"/>
        <v/>
      </c>
      <c r="L13">
        <f t="shared" ca="1" si="10"/>
        <v>7.1873999999999993E-2</v>
      </c>
      <c r="M13">
        <f t="shared" ca="1" si="11"/>
        <v>5.5249333333333324E-2</v>
      </c>
      <c r="N13">
        <f t="shared" ca="1" si="12"/>
        <v>3.8624666666666661E-2</v>
      </c>
      <c r="O13" s="3">
        <f t="shared" ca="1" si="7"/>
        <v>2.1999999999999999E-2</v>
      </c>
      <c r="P13">
        <f t="shared" ca="1" si="13"/>
        <v>5.3753333333333361E-3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0.87352000000000007</v>
      </c>
      <c r="D14" s="3">
        <f t="shared" ca="1" si="1"/>
        <v>0.8540133333333334</v>
      </c>
      <c r="E14" s="3">
        <f t="shared" ca="1" si="2"/>
        <v>0.83450666666666673</v>
      </c>
      <c r="F14" s="3">
        <f t="shared" si="3"/>
        <v>0.81500000000000006</v>
      </c>
      <c r="G14" s="3">
        <f t="shared" ca="1" si="4"/>
        <v>0.79549333333333339</v>
      </c>
      <c r="H14" s="3">
        <f t="shared" ca="1" si="5"/>
        <v>0.77598666666666671</v>
      </c>
      <c r="I14" s="3">
        <f t="shared" ca="1" si="6"/>
        <v>0.75648000000000004</v>
      </c>
      <c r="J14">
        <f t="shared" ca="1" si="8"/>
        <v>0.81</v>
      </c>
      <c r="K14" t="str">
        <f t="shared" ca="1" si="9"/>
        <v/>
      </c>
      <c r="L14">
        <f t="shared" ca="1" si="10"/>
        <v>7.1873999999999993E-2</v>
      </c>
      <c r="M14">
        <f t="shared" ca="1" si="11"/>
        <v>5.5249333333333324E-2</v>
      </c>
      <c r="N14">
        <f t="shared" ca="1" si="12"/>
        <v>3.8624666666666661E-2</v>
      </c>
      <c r="O14" s="3">
        <f t="shared" ca="1" si="7"/>
        <v>2.1999999999999999E-2</v>
      </c>
      <c r="P14">
        <f t="shared" ca="1" si="13"/>
        <v>5.3753333333333361E-3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0.87352000000000007</v>
      </c>
      <c r="D15" s="3">
        <f t="shared" ca="1" si="1"/>
        <v>0.8540133333333334</v>
      </c>
      <c r="E15" s="3">
        <f t="shared" ca="1" si="2"/>
        <v>0.83450666666666673</v>
      </c>
      <c r="F15" s="3">
        <f t="shared" si="3"/>
        <v>0.81500000000000006</v>
      </c>
      <c r="G15" s="3">
        <f t="shared" ca="1" si="4"/>
        <v>0.79549333333333339</v>
      </c>
      <c r="H15" s="3">
        <f t="shared" ca="1" si="5"/>
        <v>0.77598666666666671</v>
      </c>
      <c r="I15" s="3">
        <f t="shared" ca="1" si="6"/>
        <v>0.75648000000000004</v>
      </c>
      <c r="J15">
        <f t="shared" ca="1" si="8"/>
        <v>0.81</v>
      </c>
      <c r="K15" t="str">
        <f t="shared" ca="1" si="9"/>
        <v/>
      </c>
      <c r="L15">
        <f t="shared" ca="1" si="10"/>
        <v>7.1873999999999993E-2</v>
      </c>
      <c r="M15">
        <f t="shared" ca="1" si="11"/>
        <v>5.5249333333333324E-2</v>
      </c>
      <c r="N15">
        <f t="shared" ca="1" si="12"/>
        <v>3.8624666666666661E-2</v>
      </c>
      <c r="O15" s="3">
        <f t="shared" ca="1" si="7"/>
        <v>2.1999999999999999E-2</v>
      </c>
      <c r="P15">
        <f t="shared" ca="1" si="13"/>
        <v>5.3753333333333361E-3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0.87352000000000007</v>
      </c>
      <c r="D16" s="3">
        <f t="shared" ca="1" si="1"/>
        <v>0.8540133333333334</v>
      </c>
      <c r="E16" s="3">
        <f t="shared" ca="1" si="2"/>
        <v>0.83450666666666673</v>
      </c>
      <c r="F16" s="3">
        <f t="shared" si="3"/>
        <v>0.81500000000000006</v>
      </c>
      <c r="G16" s="3">
        <f t="shared" ca="1" si="4"/>
        <v>0.79549333333333339</v>
      </c>
      <c r="H16" s="3">
        <f t="shared" ca="1" si="5"/>
        <v>0.77598666666666671</v>
      </c>
      <c r="I16" s="3">
        <f t="shared" ca="1" si="6"/>
        <v>0.75648000000000004</v>
      </c>
      <c r="J16">
        <f t="shared" ca="1" si="8"/>
        <v>0.81</v>
      </c>
      <c r="K16" t="str">
        <f t="shared" ca="1" si="9"/>
        <v/>
      </c>
      <c r="L16">
        <f t="shared" ca="1" si="10"/>
        <v>7.1873999999999993E-2</v>
      </c>
      <c r="M16">
        <f t="shared" ca="1" si="11"/>
        <v>5.5249333333333324E-2</v>
      </c>
      <c r="N16">
        <f t="shared" ca="1" si="12"/>
        <v>3.8624666666666661E-2</v>
      </c>
      <c r="O16" s="3">
        <f t="shared" ca="1" si="7"/>
        <v>2.1999999999999999E-2</v>
      </c>
      <c r="P16">
        <f t="shared" ca="1" si="13"/>
        <v>5.3753333333333361E-3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0.87352000000000007</v>
      </c>
      <c r="D17" s="3">
        <f t="shared" ca="1" si="1"/>
        <v>0.8540133333333334</v>
      </c>
      <c r="E17" s="3">
        <f t="shared" ca="1" si="2"/>
        <v>0.83450666666666673</v>
      </c>
      <c r="F17" s="3">
        <f t="shared" si="3"/>
        <v>0.81500000000000006</v>
      </c>
      <c r="G17" s="3">
        <f t="shared" ca="1" si="4"/>
        <v>0.79549333333333339</v>
      </c>
      <c r="H17" s="3">
        <f t="shared" ca="1" si="5"/>
        <v>0.77598666666666671</v>
      </c>
      <c r="I17" s="3">
        <f t="shared" ca="1" si="6"/>
        <v>0.75648000000000004</v>
      </c>
      <c r="J17">
        <f t="shared" ca="1" si="8"/>
        <v>0.81</v>
      </c>
      <c r="K17" t="str">
        <f t="shared" ca="1" si="9"/>
        <v/>
      </c>
      <c r="L17">
        <f t="shared" ca="1" si="10"/>
        <v>7.1873999999999993E-2</v>
      </c>
      <c r="M17">
        <f t="shared" ca="1" si="11"/>
        <v>5.5249333333333324E-2</v>
      </c>
      <c r="N17">
        <f t="shared" ca="1" si="12"/>
        <v>3.8624666666666661E-2</v>
      </c>
      <c r="O17" s="3">
        <f t="shared" ca="1" si="7"/>
        <v>2.1999999999999999E-2</v>
      </c>
      <c r="P17">
        <f t="shared" ca="1" si="13"/>
        <v>5.3753333333333361E-3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0.87352000000000007</v>
      </c>
      <c r="D18" s="3">
        <f t="shared" ca="1" si="1"/>
        <v>0.8540133333333334</v>
      </c>
      <c r="E18" s="3">
        <f t="shared" ca="1" si="2"/>
        <v>0.83450666666666673</v>
      </c>
      <c r="F18" s="3">
        <f t="shared" si="3"/>
        <v>0.81500000000000006</v>
      </c>
      <c r="G18" s="3">
        <f t="shared" ca="1" si="4"/>
        <v>0.79549333333333339</v>
      </c>
      <c r="H18" s="3">
        <f t="shared" ca="1" si="5"/>
        <v>0.77598666666666671</v>
      </c>
      <c r="I18" s="3">
        <f t="shared" ca="1" si="6"/>
        <v>0.75648000000000004</v>
      </c>
      <c r="J18">
        <f t="shared" ca="1" si="8"/>
        <v>0.81</v>
      </c>
      <c r="K18" t="str">
        <f t="shared" ca="1" si="9"/>
        <v/>
      </c>
      <c r="L18">
        <f t="shared" ca="1" si="10"/>
        <v>7.1873999999999993E-2</v>
      </c>
      <c r="M18">
        <f t="shared" ca="1" si="11"/>
        <v>5.5249333333333324E-2</v>
      </c>
      <c r="N18">
        <f t="shared" ca="1" si="12"/>
        <v>3.8624666666666661E-2</v>
      </c>
      <c r="O18" s="3">
        <f t="shared" ca="1" si="7"/>
        <v>2.1999999999999999E-2</v>
      </c>
      <c r="P18">
        <f t="shared" ca="1" si="13"/>
        <v>5.3753333333333361E-3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0.87352000000000007</v>
      </c>
      <c r="D19" s="3">
        <f t="shared" ca="1" si="1"/>
        <v>0.8540133333333334</v>
      </c>
      <c r="E19" s="3">
        <f t="shared" ca="1" si="2"/>
        <v>0.83450666666666673</v>
      </c>
      <c r="F19" s="3">
        <f t="shared" si="3"/>
        <v>0.81500000000000006</v>
      </c>
      <c r="G19" s="3">
        <f t="shared" ca="1" si="4"/>
        <v>0.79549333333333339</v>
      </c>
      <c r="H19" s="3">
        <f t="shared" ca="1" si="5"/>
        <v>0.77598666666666671</v>
      </c>
      <c r="I19" s="3">
        <f t="shared" ca="1" si="6"/>
        <v>0.75648000000000004</v>
      </c>
      <c r="J19">
        <f t="shared" ca="1" si="8"/>
        <v>0.81</v>
      </c>
      <c r="K19" t="str">
        <f t="shared" ca="1" si="9"/>
        <v/>
      </c>
      <c r="L19">
        <f t="shared" ca="1" si="10"/>
        <v>7.1873999999999993E-2</v>
      </c>
      <c r="M19">
        <f t="shared" ca="1" si="11"/>
        <v>5.5249333333333324E-2</v>
      </c>
      <c r="N19">
        <f t="shared" ca="1" si="12"/>
        <v>3.8624666666666661E-2</v>
      </c>
      <c r="O19" s="3">
        <f t="shared" ca="1" si="7"/>
        <v>2.1999999999999999E-2</v>
      </c>
      <c r="P19">
        <f t="shared" ca="1" si="13"/>
        <v>5.3753333333333361E-3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0.87352000000000007</v>
      </c>
      <c r="D20" s="3">
        <f t="shared" ca="1" si="1"/>
        <v>0.8540133333333334</v>
      </c>
      <c r="E20" s="3">
        <f t="shared" ca="1" si="2"/>
        <v>0.83450666666666673</v>
      </c>
      <c r="F20" s="3">
        <f t="shared" si="3"/>
        <v>0.81500000000000006</v>
      </c>
      <c r="G20" s="3">
        <f t="shared" ca="1" si="4"/>
        <v>0.79549333333333339</v>
      </c>
      <c r="H20" s="3">
        <f t="shared" ca="1" si="5"/>
        <v>0.77598666666666671</v>
      </c>
      <c r="I20" s="3">
        <f t="shared" ca="1" si="6"/>
        <v>0.75648000000000004</v>
      </c>
      <c r="J20">
        <f t="shared" ca="1" si="8"/>
        <v>0.81</v>
      </c>
      <c r="K20" t="str">
        <f t="shared" ca="1" si="9"/>
        <v/>
      </c>
      <c r="L20">
        <f t="shared" ca="1" si="10"/>
        <v>7.1873999999999993E-2</v>
      </c>
      <c r="M20">
        <f t="shared" ca="1" si="11"/>
        <v>5.5249333333333324E-2</v>
      </c>
      <c r="N20">
        <f t="shared" ca="1" si="12"/>
        <v>3.8624666666666661E-2</v>
      </c>
      <c r="O20" s="3">
        <f t="shared" ca="1" si="7"/>
        <v>2.1999999999999999E-2</v>
      </c>
      <c r="P20">
        <f t="shared" ca="1" si="13"/>
        <v>5.3753333333333361E-3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0.87352000000000007</v>
      </c>
      <c r="D21" s="3">
        <f t="shared" ca="1" si="1"/>
        <v>0.8540133333333334</v>
      </c>
      <c r="E21" s="3">
        <f t="shared" ca="1" si="2"/>
        <v>0.83450666666666673</v>
      </c>
      <c r="F21" s="3">
        <f t="shared" si="3"/>
        <v>0.81500000000000006</v>
      </c>
      <c r="G21" s="3">
        <f t="shared" ca="1" si="4"/>
        <v>0.79549333333333339</v>
      </c>
      <c r="H21" s="3">
        <f t="shared" ca="1" si="5"/>
        <v>0.77598666666666671</v>
      </c>
      <c r="I21" s="3">
        <f t="shared" ca="1" si="6"/>
        <v>0.75648000000000004</v>
      </c>
      <c r="J21">
        <f t="shared" ca="1" si="8"/>
        <v>0.81</v>
      </c>
      <c r="K21" t="str">
        <f t="shared" ca="1" si="9"/>
        <v/>
      </c>
      <c r="L21">
        <f t="shared" ca="1" si="10"/>
        <v>7.1873999999999993E-2</v>
      </c>
      <c r="M21">
        <f t="shared" ca="1" si="11"/>
        <v>5.5249333333333324E-2</v>
      </c>
      <c r="N21">
        <f t="shared" ca="1" si="12"/>
        <v>3.8624666666666661E-2</v>
      </c>
      <c r="O21" s="3">
        <f t="shared" ca="1" si="7"/>
        <v>2.1999999999999999E-2</v>
      </c>
      <c r="P21">
        <f t="shared" ca="1" si="13"/>
        <v>5.3753333333333361E-3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0.87352000000000007</v>
      </c>
      <c r="D22" s="3">
        <f t="shared" ca="1" si="1"/>
        <v>0.8540133333333334</v>
      </c>
      <c r="E22" s="3">
        <f t="shared" ca="1" si="2"/>
        <v>0.83450666666666673</v>
      </c>
      <c r="F22" s="3">
        <f t="shared" si="3"/>
        <v>0.81500000000000006</v>
      </c>
      <c r="G22" s="3">
        <f t="shared" ca="1" si="4"/>
        <v>0.79549333333333339</v>
      </c>
      <c r="H22" s="3">
        <f t="shared" ca="1" si="5"/>
        <v>0.77598666666666671</v>
      </c>
      <c r="I22" s="3">
        <f t="shared" ca="1" si="6"/>
        <v>0.75648000000000004</v>
      </c>
      <c r="J22">
        <f t="shared" ca="1" si="8"/>
        <v>0.81</v>
      </c>
      <c r="K22" t="str">
        <f t="shared" ca="1" si="9"/>
        <v/>
      </c>
      <c r="L22">
        <f t="shared" ca="1" si="10"/>
        <v>7.1873999999999993E-2</v>
      </c>
      <c r="M22">
        <f t="shared" ca="1" si="11"/>
        <v>5.5249333333333324E-2</v>
      </c>
      <c r="N22">
        <f t="shared" ca="1" si="12"/>
        <v>3.8624666666666661E-2</v>
      </c>
      <c r="O22" s="3">
        <f t="shared" ca="1" si="7"/>
        <v>2.1999999999999999E-2</v>
      </c>
      <c r="P22">
        <f t="shared" ca="1" si="13"/>
        <v>5.3753333333333361E-3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0.87352000000000007</v>
      </c>
      <c r="D23" s="3">
        <f t="shared" ca="1" si="1"/>
        <v>0.8540133333333334</v>
      </c>
      <c r="E23" s="3">
        <f t="shared" ca="1" si="2"/>
        <v>0.83450666666666673</v>
      </c>
      <c r="F23" s="3">
        <f t="shared" si="3"/>
        <v>0.81500000000000006</v>
      </c>
      <c r="G23" s="3">
        <f t="shared" ca="1" si="4"/>
        <v>0.79549333333333339</v>
      </c>
      <c r="H23" s="3">
        <f t="shared" ca="1" si="5"/>
        <v>0.77598666666666671</v>
      </c>
      <c r="I23" s="3">
        <f t="shared" ca="1" si="6"/>
        <v>0.75648000000000004</v>
      </c>
      <c r="J23">
        <f t="shared" ca="1" si="8"/>
        <v>0.81</v>
      </c>
      <c r="K23" t="str">
        <f t="shared" ca="1" si="9"/>
        <v/>
      </c>
      <c r="L23">
        <f t="shared" ca="1" si="10"/>
        <v>7.1873999999999993E-2</v>
      </c>
      <c r="M23">
        <f t="shared" ca="1" si="11"/>
        <v>5.5249333333333324E-2</v>
      </c>
      <c r="N23">
        <f t="shared" ca="1" si="12"/>
        <v>3.8624666666666661E-2</v>
      </c>
      <c r="O23" s="3">
        <f t="shared" ca="1" si="7"/>
        <v>2.1999999999999999E-2</v>
      </c>
      <c r="P23">
        <f t="shared" ca="1" si="13"/>
        <v>5.3753333333333361E-3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0.87352000000000007</v>
      </c>
      <c r="D24" s="3">
        <f t="shared" ca="1" si="1"/>
        <v>0.8540133333333334</v>
      </c>
      <c r="E24" s="3">
        <f t="shared" ca="1" si="2"/>
        <v>0.83450666666666673</v>
      </c>
      <c r="F24" s="3">
        <f t="shared" si="3"/>
        <v>0.81500000000000006</v>
      </c>
      <c r="G24" s="3">
        <f t="shared" ca="1" si="4"/>
        <v>0.79549333333333339</v>
      </c>
      <c r="H24" s="3">
        <f t="shared" ca="1" si="5"/>
        <v>0.77598666666666671</v>
      </c>
      <c r="I24" s="3">
        <f t="shared" ca="1" si="6"/>
        <v>0.75648000000000004</v>
      </c>
      <c r="J24">
        <f t="shared" ca="1" si="8"/>
        <v>0.81</v>
      </c>
      <c r="K24" t="str">
        <f t="shared" ca="1" si="9"/>
        <v/>
      </c>
      <c r="L24">
        <f t="shared" ca="1" si="10"/>
        <v>7.1873999999999993E-2</v>
      </c>
      <c r="M24">
        <f t="shared" ca="1" si="11"/>
        <v>5.5249333333333324E-2</v>
      </c>
      <c r="N24">
        <f t="shared" ca="1" si="12"/>
        <v>3.8624666666666661E-2</v>
      </c>
      <c r="O24" s="3">
        <f t="shared" ca="1" si="7"/>
        <v>2.1999999999999999E-2</v>
      </c>
      <c r="P24">
        <f t="shared" ca="1" si="13"/>
        <v>5.3753333333333361E-3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0.87352000000000007</v>
      </c>
      <c r="D25" s="3">
        <f t="shared" ca="1" si="1"/>
        <v>0.8540133333333334</v>
      </c>
      <c r="E25" s="3">
        <f t="shared" ca="1" si="2"/>
        <v>0.83450666666666673</v>
      </c>
      <c r="F25" s="3">
        <f t="shared" si="3"/>
        <v>0.81500000000000006</v>
      </c>
      <c r="G25" s="3">
        <f t="shared" ca="1" si="4"/>
        <v>0.79549333333333339</v>
      </c>
      <c r="H25" s="3">
        <f t="shared" ca="1" si="5"/>
        <v>0.77598666666666671</v>
      </c>
      <c r="I25" s="3">
        <f t="shared" ca="1" si="6"/>
        <v>0.75648000000000004</v>
      </c>
      <c r="J25">
        <f t="shared" ca="1" si="8"/>
        <v>0.81</v>
      </c>
      <c r="K25" t="str">
        <f t="shared" ca="1" si="9"/>
        <v/>
      </c>
      <c r="L25">
        <f t="shared" ca="1" si="10"/>
        <v>7.1873999999999993E-2</v>
      </c>
      <c r="M25">
        <f t="shared" ca="1" si="11"/>
        <v>5.5249333333333324E-2</v>
      </c>
      <c r="N25">
        <f t="shared" ca="1" si="12"/>
        <v>3.8624666666666661E-2</v>
      </c>
      <c r="O25" s="3">
        <f t="shared" ca="1" si="7"/>
        <v>2.1999999999999999E-2</v>
      </c>
      <c r="P25">
        <f t="shared" ca="1" si="13"/>
        <v>5.3753333333333361E-3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0.87352000000000007</v>
      </c>
      <c r="D26" s="3">
        <f t="shared" ca="1" si="1"/>
        <v>0.8540133333333334</v>
      </c>
      <c r="E26" s="3">
        <f t="shared" ca="1" si="2"/>
        <v>0.83450666666666673</v>
      </c>
      <c r="F26" s="3">
        <f t="shared" si="3"/>
        <v>0.81500000000000006</v>
      </c>
      <c r="G26" s="3">
        <f t="shared" ca="1" si="4"/>
        <v>0.79549333333333339</v>
      </c>
      <c r="H26" s="3">
        <f t="shared" ca="1" si="5"/>
        <v>0.77598666666666671</v>
      </c>
      <c r="I26" s="3">
        <f t="shared" ca="1" si="6"/>
        <v>0.75648000000000004</v>
      </c>
      <c r="J26">
        <f t="shared" ca="1" si="8"/>
        <v>0.81</v>
      </c>
      <c r="K26" t="str">
        <f t="shared" ca="1" si="9"/>
        <v/>
      </c>
      <c r="L26">
        <f t="shared" ca="1" si="10"/>
        <v>7.1873999999999993E-2</v>
      </c>
      <c r="M26">
        <f t="shared" ca="1" si="11"/>
        <v>5.5249333333333324E-2</v>
      </c>
      <c r="N26">
        <f t="shared" ca="1" si="12"/>
        <v>3.8624666666666661E-2</v>
      </c>
      <c r="O26" s="3">
        <f t="shared" ca="1" si="7"/>
        <v>2.1999999999999999E-2</v>
      </c>
      <c r="P26">
        <f t="shared" ca="1" si="13"/>
        <v>5.3753333333333361E-3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0.87352000000000007</v>
      </c>
      <c r="D27" s="3">
        <f t="shared" ca="1" si="1"/>
        <v>0.8540133333333334</v>
      </c>
      <c r="E27" s="3">
        <f t="shared" ca="1" si="2"/>
        <v>0.83450666666666673</v>
      </c>
      <c r="F27" s="3">
        <f t="shared" si="3"/>
        <v>0.81500000000000006</v>
      </c>
      <c r="G27" s="3">
        <f t="shared" ca="1" si="4"/>
        <v>0.79549333333333339</v>
      </c>
      <c r="H27" s="3">
        <f t="shared" ca="1" si="5"/>
        <v>0.77598666666666671</v>
      </c>
      <c r="I27" s="3">
        <f t="shared" ca="1" si="6"/>
        <v>0.75648000000000004</v>
      </c>
      <c r="J27">
        <f t="shared" ca="1" si="8"/>
        <v>0.81</v>
      </c>
      <c r="K27" t="str">
        <f t="shared" ca="1" si="9"/>
        <v/>
      </c>
      <c r="L27">
        <f t="shared" ca="1" si="10"/>
        <v>7.1873999999999993E-2</v>
      </c>
      <c r="M27">
        <f t="shared" ca="1" si="11"/>
        <v>5.5249333333333324E-2</v>
      </c>
      <c r="N27">
        <f t="shared" ca="1" si="12"/>
        <v>3.8624666666666661E-2</v>
      </c>
      <c r="O27" s="3">
        <f t="shared" ca="1" si="7"/>
        <v>2.1999999999999999E-2</v>
      </c>
      <c r="P27">
        <f t="shared" ca="1" si="13"/>
        <v>5.3753333333333361E-3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1C03-AB90-9E40-80E9-D2284E12A689}">
  <sheetPr>
    <tabColor rgb="FF66FF66"/>
    <pageSetUpPr fitToPage="1"/>
  </sheetPr>
  <dimension ref="A1:R52"/>
  <sheetViews>
    <sheetView zoomScale="129" zoomScaleNormal="129" workbookViewId="0">
      <selection activeCell="A13" sqref="A13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11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1">
        <v>2016</v>
      </c>
      <c r="B2" s="3">
        <v>0.28999999999999992</v>
      </c>
      <c r="C2" s="3">
        <f t="shared" ref="C2:C27" ca="1" si="0">F2+2.66*O2</f>
        <v>0.28961333333333328</v>
      </c>
      <c r="D2" s="3">
        <f t="shared" ref="D2:D27" ca="1" si="1">F2+(2/3)*2.66*O2</f>
        <v>0.28251999999999994</v>
      </c>
      <c r="E2" s="3">
        <f t="shared" ref="E2:E27" ca="1" si="2">F2+(1/3)*2.66*O2</f>
        <v>0.27542666666666665</v>
      </c>
      <c r="F2" s="3">
        <f t="shared" ref="F2:F27" si="3">AVERAGE($B$2:$B$7)</f>
        <v>0.26833333333333331</v>
      </c>
      <c r="G2" s="3">
        <f t="shared" ref="G2:G27" ca="1" si="4">F2-(1/3)*2.66*O2</f>
        <v>0.26123999999999997</v>
      </c>
      <c r="H2" s="3">
        <f t="shared" ref="H2:H27" ca="1" si="5">F2-(2/3)*2.66*O2</f>
        <v>0.25414666666666669</v>
      </c>
      <c r="I2" s="3">
        <f t="shared" ref="I2:I27" ca="1" si="6">F2-2.66*O2</f>
        <v>0.24705333333333335</v>
      </c>
      <c r="J2">
        <f>B2</f>
        <v>0.28999999999999992</v>
      </c>
      <c r="K2" s="3"/>
      <c r="L2" s="3"/>
      <c r="M2" s="3"/>
      <c r="N2" s="3"/>
      <c r="O2" s="3">
        <f t="shared" ref="O2:O27" ca="1" si="7">AVERAGE($K$2:$K$7)</f>
        <v>7.9999999999999846E-3</v>
      </c>
      <c r="P2" s="3"/>
      <c r="Q2" s="3"/>
      <c r="R2" s="3"/>
    </row>
    <row r="3" spans="1:18" ht="14" customHeight="1" x14ac:dyDescent="0.3">
      <c r="A3" s="1">
        <v>2017</v>
      </c>
      <c r="B3" s="3">
        <v>0.26</v>
      </c>
      <c r="C3" s="3">
        <f t="shared" ca="1" si="0"/>
        <v>0.28961333333333328</v>
      </c>
      <c r="D3" s="3">
        <f t="shared" ca="1" si="1"/>
        <v>0.28251999999999994</v>
      </c>
      <c r="E3" s="3">
        <f t="shared" ca="1" si="2"/>
        <v>0.27542666666666665</v>
      </c>
      <c r="F3" s="3">
        <f t="shared" si="3"/>
        <v>0.26833333333333331</v>
      </c>
      <c r="G3" s="3">
        <f t="shared" ca="1" si="4"/>
        <v>0.26123999999999997</v>
      </c>
      <c r="H3" s="3">
        <f t="shared" ca="1" si="5"/>
        <v>0.25414666666666669</v>
      </c>
      <c r="I3" s="3">
        <f t="shared" ca="1" si="6"/>
        <v>0.24705333333333335</v>
      </c>
      <c r="J3">
        <f t="shared" ref="J3:J27" ca="1" si="8">IF(ISBLANK(B3),OFFSET(J3,-1,0,1,1),B3)</f>
        <v>0.26</v>
      </c>
      <c r="K3" s="3">
        <f t="shared" ref="K3:K27" ca="1" si="9">IF(OR(OFFSET(K3,-1,-9,1,1)="",OFFSET(K3,0,-9,1,1)=""),"",IF(ISERROR(ABS(B3-OFFSET(K3,-1,-1,1,1))),"",ABS(B3-OFFSET(K3,-1,-1,1,1))))</f>
        <v>2.9999999999999916E-2</v>
      </c>
      <c r="L3" s="3">
        <f t="shared" ref="L3:L27" ca="1" si="10">3.267*O3</f>
        <v>2.6135999999999947E-2</v>
      </c>
      <c r="M3" s="3">
        <f t="shared" ref="M3:M27" ca="1" si="11">(2/3)*(L3-O3)+O3</f>
        <v>2.0090666666666625E-2</v>
      </c>
      <c r="N3" s="3">
        <f t="shared" ref="N3:N27" ca="1" si="12">(1/3)*(L3-O3)+O3</f>
        <v>1.4045333333333306E-2</v>
      </c>
      <c r="O3" s="3">
        <f t="shared" ca="1" si="7"/>
        <v>7.9999999999999846E-3</v>
      </c>
      <c r="P3" s="3">
        <f t="shared" ref="P3:P27" ca="1" si="13">(MAX(O3-(1/3)*(L3-O3),0))</f>
        <v>1.9546666666666636E-3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1">
        <v>2018</v>
      </c>
      <c r="B4" s="3">
        <v>0.26</v>
      </c>
      <c r="C4" s="3">
        <f t="shared" ca="1" si="0"/>
        <v>0.28961333333333328</v>
      </c>
      <c r="D4" s="3">
        <f t="shared" ca="1" si="1"/>
        <v>0.28251999999999994</v>
      </c>
      <c r="E4" s="3">
        <f t="shared" ca="1" si="2"/>
        <v>0.27542666666666665</v>
      </c>
      <c r="F4" s="3">
        <f t="shared" si="3"/>
        <v>0.26833333333333331</v>
      </c>
      <c r="G4" s="3">
        <f t="shared" ca="1" si="4"/>
        <v>0.26123999999999997</v>
      </c>
      <c r="H4" s="3">
        <f t="shared" ca="1" si="5"/>
        <v>0.25414666666666669</v>
      </c>
      <c r="I4" s="3">
        <f t="shared" ca="1" si="6"/>
        <v>0.24705333333333335</v>
      </c>
      <c r="J4">
        <f t="shared" ca="1" si="8"/>
        <v>0.26</v>
      </c>
      <c r="K4" s="3">
        <f t="shared" ca="1" si="9"/>
        <v>0</v>
      </c>
      <c r="L4" s="3">
        <f t="shared" ca="1" si="10"/>
        <v>2.6135999999999947E-2</v>
      </c>
      <c r="M4" s="3">
        <f t="shared" ca="1" si="11"/>
        <v>2.0090666666666625E-2</v>
      </c>
      <c r="N4" s="3">
        <f t="shared" ca="1" si="12"/>
        <v>1.4045333333333306E-2</v>
      </c>
      <c r="O4" s="3">
        <f t="shared" ca="1" si="7"/>
        <v>7.9999999999999846E-3</v>
      </c>
      <c r="P4" s="3">
        <f t="shared" ca="1" si="13"/>
        <v>1.9546666666666636E-3</v>
      </c>
      <c r="Q4" s="3">
        <f t="shared" ca="1" si="14"/>
        <v>0</v>
      </c>
      <c r="R4" s="3">
        <v>0</v>
      </c>
    </row>
    <row r="5" spans="1:18" ht="14" customHeight="1" x14ac:dyDescent="0.3">
      <c r="A5" s="1">
        <v>2020</v>
      </c>
      <c r="B5" s="3">
        <v>0.26</v>
      </c>
      <c r="C5" s="4">
        <f t="shared" ca="1" si="0"/>
        <v>0.28961333333333328</v>
      </c>
      <c r="D5" s="4">
        <f t="shared" ca="1" si="1"/>
        <v>0.28251999999999994</v>
      </c>
      <c r="E5" s="4">
        <f t="shared" ca="1" si="2"/>
        <v>0.27542666666666665</v>
      </c>
      <c r="F5" s="4">
        <f t="shared" si="3"/>
        <v>0.26833333333333331</v>
      </c>
      <c r="G5" s="4">
        <f t="shared" ca="1" si="4"/>
        <v>0.26123999999999997</v>
      </c>
      <c r="H5" s="4">
        <f t="shared" ca="1" si="5"/>
        <v>0.25414666666666669</v>
      </c>
      <c r="I5" s="4">
        <f t="shared" ca="1" si="6"/>
        <v>0.24705333333333335</v>
      </c>
      <c r="J5" s="5">
        <f t="shared" ca="1" si="8"/>
        <v>0.26</v>
      </c>
      <c r="K5" s="4">
        <f t="shared" ca="1" si="9"/>
        <v>0</v>
      </c>
      <c r="L5" s="3">
        <f t="shared" ca="1" si="10"/>
        <v>2.6135999999999947E-2</v>
      </c>
      <c r="M5" s="3">
        <f t="shared" ca="1" si="11"/>
        <v>2.0090666666666625E-2</v>
      </c>
      <c r="N5" s="3">
        <f t="shared" ca="1" si="12"/>
        <v>1.4045333333333306E-2</v>
      </c>
      <c r="O5" s="3">
        <f t="shared" ca="1" si="7"/>
        <v>7.9999999999999846E-3</v>
      </c>
      <c r="P5" s="3">
        <f t="shared" ca="1" si="13"/>
        <v>1.9546666666666636E-3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3">
        <v>0.27</v>
      </c>
      <c r="C6" s="3">
        <f t="shared" ca="1" si="0"/>
        <v>0.28961333333333328</v>
      </c>
      <c r="D6" s="3">
        <f t="shared" ca="1" si="1"/>
        <v>0.28251999999999994</v>
      </c>
      <c r="E6" s="3">
        <f t="shared" ca="1" si="2"/>
        <v>0.27542666666666665</v>
      </c>
      <c r="F6" s="3">
        <f t="shared" si="3"/>
        <v>0.26833333333333331</v>
      </c>
      <c r="G6" s="3">
        <f t="shared" ca="1" si="4"/>
        <v>0.26123999999999997</v>
      </c>
      <c r="H6" s="3">
        <f t="shared" ca="1" si="5"/>
        <v>0.25414666666666669</v>
      </c>
      <c r="I6" s="3">
        <f t="shared" ca="1" si="6"/>
        <v>0.24705333333333335</v>
      </c>
      <c r="J6">
        <f t="shared" ca="1" si="8"/>
        <v>0.27</v>
      </c>
      <c r="K6" s="3">
        <f t="shared" ca="1" si="9"/>
        <v>1.0000000000000009E-2</v>
      </c>
      <c r="L6" s="3">
        <f t="shared" ca="1" si="10"/>
        <v>2.6135999999999947E-2</v>
      </c>
      <c r="M6" s="3">
        <f t="shared" ca="1" si="11"/>
        <v>2.0090666666666625E-2</v>
      </c>
      <c r="N6" s="3">
        <f t="shared" ca="1" si="12"/>
        <v>1.4045333333333306E-2</v>
      </c>
      <c r="O6" s="3">
        <f t="shared" ca="1" si="7"/>
        <v>7.9999999999999846E-3</v>
      </c>
      <c r="P6" s="3">
        <f t="shared" ca="1" si="13"/>
        <v>1.9546666666666636E-3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3">
        <v>0.27</v>
      </c>
      <c r="C7" s="3">
        <f t="shared" ca="1" si="0"/>
        <v>0.28961333333333328</v>
      </c>
      <c r="D7" s="3">
        <f t="shared" ca="1" si="1"/>
        <v>0.28251999999999994</v>
      </c>
      <c r="E7" s="3">
        <f t="shared" ca="1" si="2"/>
        <v>0.27542666666666665</v>
      </c>
      <c r="F7" s="3">
        <f t="shared" si="3"/>
        <v>0.26833333333333331</v>
      </c>
      <c r="G7" s="3">
        <f t="shared" ca="1" si="4"/>
        <v>0.26123999999999997</v>
      </c>
      <c r="H7" s="3">
        <f t="shared" ca="1" si="5"/>
        <v>0.25414666666666669</v>
      </c>
      <c r="I7" s="3">
        <f t="shared" ca="1" si="6"/>
        <v>0.24705333333333335</v>
      </c>
      <c r="J7">
        <f t="shared" ca="1" si="8"/>
        <v>0.27</v>
      </c>
      <c r="K7" s="3">
        <f t="shared" ca="1" si="9"/>
        <v>0</v>
      </c>
      <c r="L7" s="3">
        <f t="shared" ca="1" si="10"/>
        <v>2.6135999999999947E-2</v>
      </c>
      <c r="M7" s="3">
        <f t="shared" ca="1" si="11"/>
        <v>2.0090666666666625E-2</v>
      </c>
      <c r="N7" s="3">
        <f t="shared" ca="1" si="12"/>
        <v>1.4045333333333306E-2</v>
      </c>
      <c r="O7" s="3">
        <f t="shared" ca="1" si="7"/>
        <v>7.9999999999999846E-3</v>
      </c>
      <c r="P7" s="3">
        <f t="shared" ca="1" si="13"/>
        <v>1.9546666666666636E-3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0.28961333333333328</v>
      </c>
      <c r="D8" s="3">
        <f t="shared" ca="1" si="1"/>
        <v>0.28251999999999994</v>
      </c>
      <c r="E8" s="3">
        <f t="shared" ca="1" si="2"/>
        <v>0.27542666666666665</v>
      </c>
      <c r="F8" s="3">
        <f t="shared" si="3"/>
        <v>0.26833333333333331</v>
      </c>
      <c r="G8" s="3">
        <f t="shared" ca="1" si="4"/>
        <v>0.26123999999999997</v>
      </c>
      <c r="H8" s="3">
        <f t="shared" ca="1" si="5"/>
        <v>0.25414666666666669</v>
      </c>
      <c r="I8" s="3">
        <f t="shared" ca="1" si="6"/>
        <v>0.24705333333333335</v>
      </c>
      <c r="J8">
        <f t="shared" ca="1" si="8"/>
        <v>0.27</v>
      </c>
      <c r="K8" t="str">
        <f t="shared" ca="1" si="9"/>
        <v/>
      </c>
      <c r="L8">
        <f t="shared" ca="1" si="10"/>
        <v>2.6135999999999947E-2</v>
      </c>
      <c r="M8">
        <f t="shared" ca="1" si="11"/>
        <v>2.0090666666666625E-2</v>
      </c>
      <c r="N8">
        <f t="shared" ca="1" si="12"/>
        <v>1.4045333333333306E-2</v>
      </c>
      <c r="O8" s="3">
        <f t="shared" ca="1" si="7"/>
        <v>7.9999999999999846E-3</v>
      </c>
      <c r="P8">
        <f t="shared" ca="1" si="13"/>
        <v>1.9546666666666636E-3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0.28961333333333328</v>
      </c>
      <c r="D9" s="3">
        <f t="shared" ca="1" si="1"/>
        <v>0.28251999999999994</v>
      </c>
      <c r="E9" s="3">
        <f t="shared" ca="1" si="2"/>
        <v>0.27542666666666665</v>
      </c>
      <c r="F9" s="3">
        <f t="shared" si="3"/>
        <v>0.26833333333333331</v>
      </c>
      <c r="G9" s="3">
        <f t="shared" ca="1" si="4"/>
        <v>0.26123999999999997</v>
      </c>
      <c r="H9" s="3">
        <f t="shared" ca="1" si="5"/>
        <v>0.25414666666666669</v>
      </c>
      <c r="I9" s="3">
        <f t="shared" ca="1" si="6"/>
        <v>0.24705333333333335</v>
      </c>
      <c r="J9">
        <f t="shared" ca="1" si="8"/>
        <v>0.27</v>
      </c>
      <c r="K9" t="str">
        <f t="shared" ca="1" si="9"/>
        <v/>
      </c>
      <c r="L9">
        <f t="shared" ca="1" si="10"/>
        <v>2.6135999999999947E-2</v>
      </c>
      <c r="M9">
        <f t="shared" ca="1" si="11"/>
        <v>2.0090666666666625E-2</v>
      </c>
      <c r="N9">
        <f t="shared" ca="1" si="12"/>
        <v>1.4045333333333306E-2</v>
      </c>
      <c r="O9" s="3">
        <f t="shared" ca="1" si="7"/>
        <v>7.9999999999999846E-3</v>
      </c>
      <c r="P9">
        <f t="shared" ca="1" si="13"/>
        <v>1.9546666666666636E-3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0.28961333333333328</v>
      </c>
      <c r="D10" s="3">
        <f t="shared" ca="1" si="1"/>
        <v>0.28251999999999994</v>
      </c>
      <c r="E10" s="3">
        <f t="shared" ca="1" si="2"/>
        <v>0.27542666666666665</v>
      </c>
      <c r="F10" s="3">
        <f t="shared" si="3"/>
        <v>0.26833333333333331</v>
      </c>
      <c r="G10" s="3">
        <f t="shared" ca="1" si="4"/>
        <v>0.26123999999999997</v>
      </c>
      <c r="H10" s="3">
        <f t="shared" ca="1" si="5"/>
        <v>0.25414666666666669</v>
      </c>
      <c r="I10" s="3">
        <f t="shared" ca="1" si="6"/>
        <v>0.24705333333333335</v>
      </c>
      <c r="J10">
        <f t="shared" ca="1" si="8"/>
        <v>0.27</v>
      </c>
      <c r="K10" t="str">
        <f t="shared" ca="1" si="9"/>
        <v/>
      </c>
      <c r="L10">
        <f t="shared" ca="1" si="10"/>
        <v>2.6135999999999947E-2</v>
      </c>
      <c r="M10">
        <f t="shared" ca="1" si="11"/>
        <v>2.0090666666666625E-2</v>
      </c>
      <c r="N10">
        <f t="shared" ca="1" si="12"/>
        <v>1.4045333333333306E-2</v>
      </c>
      <c r="O10" s="3">
        <f t="shared" ca="1" si="7"/>
        <v>7.9999999999999846E-3</v>
      </c>
      <c r="P10">
        <f t="shared" ca="1" si="13"/>
        <v>1.9546666666666636E-3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0.28961333333333328</v>
      </c>
      <c r="D11" s="3">
        <f t="shared" ca="1" si="1"/>
        <v>0.28251999999999994</v>
      </c>
      <c r="E11" s="3">
        <f t="shared" ca="1" si="2"/>
        <v>0.27542666666666665</v>
      </c>
      <c r="F11" s="3">
        <f t="shared" si="3"/>
        <v>0.26833333333333331</v>
      </c>
      <c r="G11" s="3">
        <f t="shared" ca="1" si="4"/>
        <v>0.26123999999999997</v>
      </c>
      <c r="H11" s="3">
        <f t="shared" ca="1" si="5"/>
        <v>0.25414666666666669</v>
      </c>
      <c r="I11" s="3">
        <f t="shared" ca="1" si="6"/>
        <v>0.24705333333333335</v>
      </c>
      <c r="J11">
        <f t="shared" ca="1" si="8"/>
        <v>0.27</v>
      </c>
      <c r="K11" t="str">
        <f t="shared" ca="1" si="9"/>
        <v/>
      </c>
      <c r="L11">
        <f t="shared" ca="1" si="10"/>
        <v>2.6135999999999947E-2</v>
      </c>
      <c r="M11">
        <f t="shared" ca="1" si="11"/>
        <v>2.0090666666666625E-2</v>
      </c>
      <c r="N11">
        <f t="shared" ca="1" si="12"/>
        <v>1.4045333333333306E-2</v>
      </c>
      <c r="O11" s="3">
        <f t="shared" ca="1" si="7"/>
        <v>7.9999999999999846E-3</v>
      </c>
      <c r="P11">
        <f t="shared" ca="1" si="13"/>
        <v>1.9546666666666636E-3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0.28961333333333328</v>
      </c>
      <c r="D12" s="3">
        <f t="shared" ca="1" si="1"/>
        <v>0.28251999999999994</v>
      </c>
      <c r="E12" s="3">
        <f t="shared" ca="1" si="2"/>
        <v>0.27542666666666665</v>
      </c>
      <c r="F12" s="3">
        <f t="shared" si="3"/>
        <v>0.26833333333333331</v>
      </c>
      <c r="G12" s="3">
        <f t="shared" ca="1" si="4"/>
        <v>0.26123999999999997</v>
      </c>
      <c r="H12" s="3">
        <f t="shared" ca="1" si="5"/>
        <v>0.25414666666666669</v>
      </c>
      <c r="I12" s="3">
        <f t="shared" ca="1" si="6"/>
        <v>0.24705333333333335</v>
      </c>
      <c r="J12">
        <f t="shared" ca="1" si="8"/>
        <v>0.27</v>
      </c>
      <c r="K12" t="str">
        <f t="shared" ca="1" si="9"/>
        <v/>
      </c>
      <c r="L12">
        <f t="shared" ca="1" si="10"/>
        <v>2.6135999999999947E-2</v>
      </c>
      <c r="M12">
        <f t="shared" ca="1" si="11"/>
        <v>2.0090666666666625E-2</v>
      </c>
      <c r="N12">
        <f t="shared" ca="1" si="12"/>
        <v>1.4045333333333306E-2</v>
      </c>
      <c r="O12" s="3">
        <f t="shared" ca="1" si="7"/>
        <v>7.9999999999999846E-3</v>
      </c>
      <c r="P12">
        <f t="shared" ca="1" si="13"/>
        <v>1.9546666666666636E-3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0.28961333333333328</v>
      </c>
      <c r="D13" s="3">
        <f t="shared" ca="1" si="1"/>
        <v>0.28251999999999994</v>
      </c>
      <c r="E13" s="3">
        <f t="shared" ca="1" si="2"/>
        <v>0.27542666666666665</v>
      </c>
      <c r="F13" s="3">
        <f t="shared" si="3"/>
        <v>0.26833333333333331</v>
      </c>
      <c r="G13" s="3">
        <f t="shared" ca="1" si="4"/>
        <v>0.26123999999999997</v>
      </c>
      <c r="H13" s="3">
        <f t="shared" ca="1" si="5"/>
        <v>0.25414666666666669</v>
      </c>
      <c r="I13" s="3">
        <f t="shared" ca="1" si="6"/>
        <v>0.24705333333333335</v>
      </c>
      <c r="J13">
        <f t="shared" ca="1" si="8"/>
        <v>0.27</v>
      </c>
      <c r="K13" t="str">
        <f t="shared" ca="1" si="9"/>
        <v/>
      </c>
      <c r="L13">
        <f t="shared" ca="1" si="10"/>
        <v>2.6135999999999947E-2</v>
      </c>
      <c r="M13">
        <f t="shared" ca="1" si="11"/>
        <v>2.0090666666666625E-2</v>
      </c>
      <c r="N13">
        <f t="shared" ca="1" si="12"/>
        <v>1.4045333333333306E-2</v>
      </c>
      <c r="O13" s="3">
        <f t="shared" ca="1" si="7"/>
        <v>7.9999999999999846E-3</v>
      </c>
      <c r="P13">
        <f t="shared" ca="1" si="13"/>
        <v>1.9546666666666636E-3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0.28961333333333328</v>
      </c>
      <c r="D14" s="3">
        <f t="shared" ca="1" si="1"/>
        <v>0.28251999999999994</v>
      </c>
      <c r="E14" s="3">
        <f t="shared" ca="1" si="2"/>
        <v>0.27542666666666665</v>
      </c>
      <c r="F14" s="3">
        <f t="shared" si="3"/>
        <v>0.26833333333333331</v>
      </c>
      <c r="G14" s="3">
        <f t="shared" ca="1" si="4"/>
        <v>0.26123999999999997</v>
      </c>
      <c r="H14" s="3">
        <f t="shared" ca="1" si="5"/>
        <v>0.25414666666666669</v>
      </c>
      <c r="I14" s="3">
        <f t="shared" ca="1" si="6"/>
        <v>0.24705333333333335</v>
      </c>
      <c r="J14">
        <f t="shared" ca="1" si="8"/>
        <v>0.27</v>
      </c>
      <c r="K14" t="str">
        <f t="shared" ca="1" si="9"/>
        <v/>
      </c>
      <c r="L14">
        <f t="shared" ca="1" si="10"/>
        <v>2.6135999999999947E-2</v>
      </c>
      <c r="M14">
        <f t="shared" ca="1" si="11"/>
        <v>2.0090666666666625E-2</v>
      </c>
      <c r="N14">
        <f t="shared" ca="1" si="12"/>
        <v>1.4045333333333306E-2</v>
      </c>
      <c r="O14" s="3">
        <f t="shared" ca="1" si="7"/>
        <v>7.9999999999999846E-3</v>
      </c>
      <c r="P14">
        <f t="shared" ca="1" si="13"/>
        <v>1.9546666666666636E-3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0.28961333333333328</v>
      </c>
      <c r="D15" s="3">
        <f t="shared" ca="1" si="1"/>
        <v>0.28251999999999994</v>
      </c>
      <c r="E15" s="3">
        <f t="shared" ca="1" si="2"/>
        <v>0.27542666666666665</v>
      </c>
      <c r="F15" s="3">
        <f t="shared" si="3"/>
        <v>0.26833333333333331</v>
      </c>
      <c r="G15" s="3">
        <f t="shared" ca="1" si="4"/>
        <v>0.26123999999999997</v>
      </c>
      <c r="H15" s="3">
        <f t="shared" ca="1" si="5"/>
        <v>0.25414666666666669</v>
      </c>
      <c r="I15" s="3">
        <f t="shared" ca="1" si="6"/>
        <v>0.24705333333333335</v>
      </c>
      <c r="J15">
        <f t="shared" ca="1" si="8"/>
        <v>0.27</v>
      </c>
      <c r="K15" t="str">
        <f t="shared" ca="1" si="9"/>
        <v/>
      </c>
      <c r="L15">
        <f t="shared" ca="1" si="10"/>
        <v>2.6135999999999947E-2</v>
      </c>
      <c r="M15">
        <f t="shared" ca="1" si="11"/>
        <v>2.0090666666666625E-2</v>
      </c>
      <c r="N15">
        <f t="shared" ca="1" si="12"/>
        <v>1.4045333333333306E-2</v>
      </c>
      <c r="O15" s="3">
        <f t="shared" ca="1" si="7"/>
        <v>7.9999999999999846E-3</v>
      </c>
      <c r="P15">
        <f t="shared" ca="1" si="13"/>
        <v>1.9546666666666636E-3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0.28961333333333328</v>
      </c>
      <c r="D16" s="3">
        <f t="shared" ca="1" si="1"/>
        <v>0.28251999999999994</v>
      </c>
      <c r="E16" s="3">
        <f t="shared" ca="1" si="2"/>
        <v>0.27542666666666665</v>
      </c>
      <c r="F16" s="3">
        <f t="shared" si="3"/>
        <v>0.26833333333333331</v>
      </c>
      <c r="G16" s="3">
        <f t="shared" ca="1" si="4"/>
        <v>0.26123999999999997</v>
      </c>
      <c r="H16" s="3">
        <f t="shared" ca="1" si="5"/>
        <v>0.25414666666666669</v>
      </c>
      <c r="I16" s="3">
        <f t="shared" ca="1" si="6"/>
        <v>0.24705333333333335</v>
      </c>
      <c r="J16">
        <f t="shared" ca="1" si="8"/>
        <v>0.27</v>
      </c>
      <c r="K16" t="str">
        <f t="shared" ca="1" si="9"/>
        <v/>
      </c>
      <c r="L16">
        <f t="shared" ca="1" si="10"/>
        <v>2.6135999999999947E-2</v>
      </c>
      <c r="M16">
        <f t="shared" ca="1" si="11"/>
        <v>2.0090666666666625E-2</v>
      </c>
      <c r="N16">
        <f t="shared" ca="1" si="12"/>
        <v>1.4045333333333306E-2</v>
      </c>
      <c r="O16" s="3">
        <f t="shared" ca="1" si="7"/>
        <v>7.9999999999999846E-3</v>
      </c>
      <c r="P16">
        <f t="shared" ca="1" si="13"/>
        <v>1.9546666666666636E-3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0.28961333333333328</v>
      </c>
      <c r="D17" s="3">
        <f t="shared" ca="1" si="1"/>
        <v>0.28251999999999994</v>
      </c>
      <c r="E17" s="3">
        <f t="shared" ca="1" si="2"/>
        <v>0.27542666666666665</v>
      </c>
      <c r="F17" s="3">
        <f t="shared" si="3"/>
        <v>0.26833333333333331</v>
      </c>
      <c r="G17" s="3">
        <f t="shared" ca="1" si="4"/>
        <v>0.26123999999999997</v>
      </c>
      <c r="H17" s="3">
        <f t="shared" ca="1" si="5"/>
        <v>0.25414666666666669</v>
      </c>
      <c r="I17" s="3">
        <f t="shared" ca="1" si="6"/>
        <v>0.24705333333333335</v>
      </c>
      <c r="J17">
        <f t="shared" ca="1" si="8"/>
        <v>0.27</v>
      </c>
      <c r="K17" t="str">
        <f t="shared" ca="1" si="9"/>
        <v/>
      </c>
      <c r="L17">
        <f t="shared" ca="1" si="10"/>
        <v>2.6135999999999947E-2</v>
      </c>
      <c r="M17">
        <f t="shared" ca="1" si="11"/>
        <v>2.0090666666666625E-2</v>
      </c>
      <c r="N17">
        <f t="shared" ca="1" si="12"/>
        <v>1.4045333333333306E-2</v>
      </c>
      <c r="O17" s="3">
        <f t="shared" ca="1" si="7"/>
        <v>7.9999999999999846E-3</v>
      </c>
      <c r="P17">
        <f t="shared" ca="1" si="13"/>
        <v>1.9546666666666636E-3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0.28961333333333328</v>
      </c>
      <c r="D18" s="3">
        <f t="shared" ca="1" si="1"/>
        <v>0.28251999999999994</v>
      </c>
      <c r="E18" s="3">
        <f t="shared" ca="1" si="2"/>
        <v>0.27542666666666665</v>
      </c>
      <c r="F18" s="3">
        <f t="shared" si="3"/>
        <v>0.26833333333333331</v>
      </c>
      <c r="G18" s="3">
        <f t="shared" ca="1" si="4"/>
        <v>0.26123999999999997</v>
      </c>
      <c r="H18" s="3">
        <f t="shared" ca="1" si="5"/>
        <v>0.25414666666666669</v>
      </c>
      <c r="I18" s="3">
        <f t="shared" ca="1" si="6"/>
        <v>0.24705333333333335</v>
      </c>
      <c r="J18">
        <f t="shared" ca="1" si="8"/>
        <v>0.27</v>
      </c>
      <c r="K18" t="str">
        <f t="shared" ca="1" si="9"/>
        <v/>
      </c>
      <c r="L18">
        <f t="shared" ca="1" si="10"/>
        <v>2.6135999999999947E-2</v>
      </c>
      <c r="M18">
        <f t="shared" ca="1" si="11"/>
        <v>2.0090666666666625E-2</v>
      </c>
      <c r="N18">
        <f t="shared" ca="1" si="12"/>
        <v>1.4045333333333306E-2</v>
      </c>
      <c r="O18" s="3">
        <f t="shared" ca="1" si="7"/>
        <v>7.9999999999999846E-3</v>
      </c>
      <c r="P18">
        <f t="shared" ca="1" si="13"/>
        <v>1.9546666666666636E-3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0.28961333333333328</v>
      </c>
      <c r="D19" s="3">
        <f t="shared" ca="1" si="1"/>
        <v>0.28251999999999994</v>
      </c>
      <c r="E19" s="3">
        <f t="shared" ca="1" si="2"/>
        <v>0.27542666666666665</v>
      </c>
      <c r="F19" s="3">
        <f t="shared" si="3"/>
        <v>0.26833333333333331</v>
      </c>
      <c r="G19" s="3">
        <f t="shared" ca="1" si="4"/>
        <v>0.26123999999999997</v>
      </c>
      <c r="H19" s="3">
        <f t="shared" ca="1" si="5"/>
        <v>0.25414666666666669</v>
      </c>
      <c r="I19" s="3">
        <f t="shared" ca="1" si="6"/>
        <v>0.24705333333333335</v>
      </c>
      <c r="J19">
        <f t="shared" ca="1" si="8"/>
        <v>0.27</v>
      </c>
      <c r="K19" t="str">
        <f t="shared" ca="1" si="9"/>
        <v/>
      </c>
      <c r="L19">
        <f t="shared" ca="1" si="10"/>
        <v>2.6135999999999947E-2</v>
      </c>
      <c r="M19">
        <f t="shared" ca="1" si="11"/>
        <v>2.0090666666666625E-2</v>
      </c>
      <c r="N19">
        <f t="shared" ca="1" si="12"/>
        <v>1.4045333333333306E-2</v>
      </c>
      <c r="O19" s="3">
        <f t="shared" ca="1" si="7"/>
        <v>7.9999999999999846E-3</v>
      </c>
      <c r="P19">
        <f t="shared" ca="1" si="13"/>
        <v>1.9546666666666636E-3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0.28961333333333328</v>
      </c>
      <c r="D20" s="3">
        <f t="shared" ca="1" si="1"/>
        <v>0.28251999999999994</v>
      </c>
      <c r="E20" s="3">
        <f t="shared" ca="1" si="2"/>
        <v>0.27542666666666665</v>
      </c>
      <c r="F20" s="3">
        <f t="shared" si="3"/>
        <v>0.26833333333333331</v>
      </c>
      <c r="G20" s="3">
        <f t="shared" ca="1" si="4"/>
        <v>0.26123999999999997</v>
      </c>
      <c r="H20" s="3">
        <f t="shared" ca="1" si="5"/>
        <v>0.25414666666666669</v>
      </c>
      <c r="I20" s="3">
        <f t="shared" ca="1" si="6"/>
        <v>0.24705333333333335</v>
      </c>
      <c r="J20">
        <f t="shared" ca="1" si="8"/>
        <v>0.27</v>
      </c>
      <c r="K20" t="str">
        <f t="shared" ca="1" si="9"/>
        <v/>
      </c>
      <c r="L20">
        <f t="shared" ca="1" si="10"/>
        <v>2.6135999999999947E-2</v>
      </c>
      <c r="M20">
        <f t="shared" ca="1" si="11"/>
        <v>2.0090666666666625E-2</v>
      </c>
      <c r="N20">
        <f t="shared" ca="1" si="12"/>
        <v>1.4045333333333306E-2</v>
      </c>
      <c r="O20" s="3">
        <f t="shared" ca="1" si="7"/>
        <v>7.9999999999999846E-3</v>
      </c>
      <c r="P20">
        <f t="shared" ca="1" si="13"/>
        <v>1.9546666666666636E-3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0.28961333333333328</v>
      </c>
      <c r="D21" s="3">
        <f t="shared" ca="1" si="1"/>
        <v>0.28251999999999994</v>
      </c>
      <c r="E21" s="3">
        <f t="shared" ca="1" si="2"/>
        <v>0.27542666666666665</v>
      </c>
      <c r="F21" s="3">
        <f t="shared" si="3"/>
        <v>0.26833333333333331</v>
      </c>
      <c r="G21" s="3">
        <f t="shared" ca="1" si="4"/>
        <v>0.26123999999999997</v>
      </c>
      <c r="H21" s="3">
        <f t="shared" ca="1" si="5"/>
        <v>0.25414666666666669</v>
      </c>
      <c r="I21" s="3">
        <f t="shared" ca="1" si="6"/>
        <v>0.24705333333333335</v>
      </c>
      <c r="J21">
        <f t="shared" ca="1" si="8"/>
        <v>0.27</v>
      </c>
      <c r="K21" t="str">
        <f t="shared" ca="1" si="9"/>
        <v/>
      </c>
      <c r="L21">
        <f t="shared" ca="1" si="10"/>
        <v>2.6135999999999947E-2</v>
      </c>
      <c r="M21">
        <f t="shared" ca="1" si="11"/>
        <v>2.0090666666666625E-2</v>
      </c>
      <c r="N21">
        <f t="shared" ca="1" si="12"/>
        <v>1.4045333333333306E-2</v>
      </c>
      <c r="O21" s="3">
        <f t="shared" ca="1" si="7"/>
        <v>7.9999999999999846E-3</v>
      </c>
      <c r="P21">
        <f t="shared" ca="1" si="13"/>
        <v>1.9546666666666636E-3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0.28961333333333328</v>
      </c>
      <c r="D22" s="3">
        <f t="shared" ca="1" si="1"/>
        <v>0.28251999999999994</v>
      </c>
      <c r="E22" s="3">
        <f t="shared" ca="1" si="2"/>
        <v>0.27542666666666665</v>
      </c>
      <c r="F22" s="3">
        <f t="shared" si="3"/>
        <v>0.26833333333333331</v>
      </c>
      <c r="G22" s="3">
        <f t="shared" ca="1" si="4"/>
        <v>0.26123999999999997</v>
      </c>
      <c r="H22" s="3">
        <f t="shared" ca="1" si="5"/>
        <v>0.25414666666666669</v>
      </c>
      <c r="I22" s="3">
        <f t="shared" ca="1" si="6"/>
        <v>0.24705333333333335</v>
      </c>
      <c r="J22">
        <f t="shared" ca="1" si="8"/>
        <v>0.27</v>
      </c>
      <c r="K22" t="str">
        <f t="shared" ca="1" si="9"/>
        <v/>
      </c>
      <c r="L22">
        <f t="shared" ca="1" si="10"/>
        <v>2.6135999999999947E-2</v>
      </c>
      <c r="M22">
        <f t="shared" ca="1" si="11"/>
        <v>2.0090666666666625E-2</v>
      </c>
      <c r="N22">
        <f t="shared" ca="1" si="12"/>
        <v>1.4045333333333306E-2</v>
      </c>
      <c r="O22" s="3">
        <f t="shared" ca="1" si="7"/>
        <v>7.9999999999999846E-3</v>
      </c>
      <c r="P22">
        <f t="shared" ca="1" si="13"/>
        <v>1.9546666666666636E-3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0.28961333333333328</v>
      </c>
      <c r="D23" s="3">
        <f t="shared" ca="1" si="1"/>
        <v>0.28251999999999994</v>
      </c>
      <c r="E23" s="3">
        <f t="shared" ca="1" si="2"/>
        <v>0.27542666666666665</v>
      </c>
      <c r="F23" s="3">
        <f t="shared" si="3"/>
        <v>0.26833333333333331</v>
      </c>
      <c r="G23" s="3">
        <f t="shared" ca="1" si="4"/>
        <v>0.26123999999999997</v>
      </c>
      <c r="H23" s="3">
        <f t="shared" ca="1" si="5"/>
        <v>0.25414666666666669</v>
      </c>
      <c r="I23" s="3">
        <f t="shared" ca="1" si="6"/>
        <v>0.24705333333333335</v>
      </c>
      <c r="J23">
        <f t="shared" ca="1" si="8"/>
        <v>0.27</v>
      </c>
      <c r="K23" t="str">
        <f t="shared" ca="1" si="9"/>
        <v/>
      </c>
      <c r="L23">
        <f t="shared" ca="1" si="10"/>
        <v>2.6135999999999947E-2</v>
      </c>
      <c r="M23">
        <f t="shared" ca="1" si="11"/>
        <v>2.0090666666666625E-2</v>
      </c>
      <c r="N23">
        <f t="shared" ca="1" si="12"/>
        <v>1.4045333333333306E-2</v>
      </c>
      <c r="O23" s="3">
        <f t="shared" ca="1" si="7"/>
        <v>7.9999999999999846E-3</v>
      </c>
      <c r="P23">
        <f t="shared" ca="1" si="13"/>
        <v>1.9546666666666636E-3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0.28961333333333328</v>
      </c>
      <c r="D24" s="3">
        <f t="shared" ca="1" si="1"/>
        <v>0.28251999999999994</v>
      </c>
      <c r="E24" s="3">
        <f t="shared" ca="1" si="2"/>
        <v>0.27542666666666665</v>
      </c>
      <c r="F24" s="3">
        <f t="shared" si="3"/>
        <v>0.26833333333333331</v>
      </c>
      <c r="G24" s="3">
        <f t="shared" ca="1" si="4"/>
        <v>0.26123999999999997</v>
      </c>
      <c r="H24" s="3">
        <f t="shared" ca="1" si="5"/>
        <v>0.25414666666666669</v>
      </c>
      <c r="I24" s="3">
        <f t="shared" ca="1" si="6"/>
        <v>0.24705333333333335</v>
      </c>
      <c r="J24">
        <f t="shared" ca="1" si="8"/>
        <v>0.27</v>
      </c>
      <c r="K24" t="str">
        <f t="shared" ca="1" si="9"/>
        <v/>
      </c>
      <c r="L24">
        <f t="shared" ca="1" si="10"/>
        <v>2.6135999999999947E-2</v>
      </c>
      <c r="M24">
        <f t="shared" ca="1" si="11"/>
        <v>2.0090666666666625E-2</v>
      </c>
      <c r="N24">
        <f t="shared" ca="1" si="12"/>
        <v>1.4045333333333306E-2</v>
      </c>
      <c r="O24" s="3">
        <f t="shared" ca="1" si="7"/>
        <v>7.9999999999999846E-3</v>
      </c>
      <c r="P24">
        <f t="shared" ca="1" si="13"/>
        <v>1.9546666666666636E-3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0.28961333333333328</v>
      </c>
      <c r="D25" s="3">
        <f t="shared" ca="1" si="1"/>
        <v>0.28251999999999994</v>
      </c>
      <c r="E25" s="3">
        <f t="shared" ca="1" si="2"/>
        <v>0.27542666666666665</v>
      </c>
      <c r="F25" s="3">
        <f t="shared" si="3"/>
        <v>0.26833333333333331</v>
      </c>
      <c r="G25" s="3">
        <f t="shared" ca="1" si="4"/>
        <v>0.26123999999999997</v>
      </c>
      <c r="H25" s="3">
        <f t="shared" ca="1" si="5"/>
        <v>0.25414666666666669</v>
      </c>
      <c r="I25" s="3">
        <f t="shared" ca="1" si="6"/>
        <v>0.24705333333333335</v>
      </c>
      <c r="J25">
        <f t="shared" ca="1" si="8"/>
        <v>0.27</v>
      </c>
      <c r="K25" t="str">
        <f t="shared" ca="1" si="9"/>
        <v/>
      </c>
      <c r="L25">
        <f t="shared" ca="1" si="10"/>
        <v>2.6135999999999947E-2</v>
      </c>
      <c r="M25">
        <f t="shared" ca="1" si="11"/>
        <v>2.0090666666666625E-2</v>
      </c>
      <c r="N25">
        <f t="shared" ca="1" si="12"/>
        <v>1.4045333333333306E-2</v>
      </c>
      <c r="O25" s="3">
        <f t="shared" ca="1" si="7"/>
        <v>7.9999999999999846E-3</v>
      </c>
      <c r="P25">
        <f t="shared" ca="1" si="13"/>
        <v>1.9546666666666636E-3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0.28961333333333328</v>
      </c>
      <c r="D26" s="3">
        <f t="shared" ca="1" si="1"/>
        <v>0.28251999999999994</v>
      </c>
      <c r="E26" s="3">
        <f t="shared" ca="1" si="2"/>
        <v>0.27542666666666665</v>
      </c>
      <c r="F26" s="3">
        <f t="shared" si="3"/>
        <v>0.26833333333333331</v>
      </c>
      <c r="G26" s="3">
        <f t="shared" ca="1" si="4"/>
        <v>0.26123999999999997</v>
      </c>
      <c r="H26" s="3">
        <f t="shared" ca="1" si="5"/>
        <v>0.25414666666666669</v>
      </c>
      <c r="I26" s="3">
        <f t="shared" ca="1" si="6"/>
        <v>0.24705333333333335</v>
      </c>
      <c r="J26">
        <f t="shared" ca="1" si="8"/>
        <v>0.27</v>
      </c>
      <c r="K26" t="str">
        <f t="shared" ca="1" si="9"/>
        <v/>
      </c>
      <c r="L26">
        <f t="shared" ca="1" si="10"/>
        <v>2.6135999999999947E-2</v>
      </c>
      <c r="M26">
        <f t="shared" ca="1" si="11"/>
        <v>2.0090666666666625E-2</v>
      </c>
      <c r="N26">
        <f t="shared" ca="1" si="12"/>
        <v>1.4045333333333306E-2</v>
      </c>
      <c r="O26" s="3">
        <f t="shared" ca="1" si="7"/>
        <v>7.9999999999999846E-3</v>
      </c>
      <c r="P26">
        <f t="shared" ca="1" si="13"/>
        <v>1.9546666666666636E-3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0.28961333333333328</v>
      </c>
      <c r="D27" s="3">
        <f t="shared" ca="1" si="1"/>
        <v>0.28251999999999994</v>
      </c>
      <c r="E27" s="3">
        <f t="shared" ca="1" si="2"/>
        <v>0.27542666666666665</v>
      </c>
      <c r="F27" s="3">
        <f t="shared" si="3"/>
        <v>0.26833333333333331</v>
      </c>
      <c r="G27" s="3">
        <f t="shared" ca="1" si="4"/>
        <v>0.26123999999999997</v>
      </c>
      <c r="H27" s="3">
        <f t="shared" ca="1" si="5"/>
        <v>0.25414666666666669</v>
      </c>
      <c r="I27" s="3">
        <f t="shared" ca="1" si="6"/>
        <v>0.24705333333333335</v>
      </c>
      <c r="J27">
        <f t="shared" ca="1" si="8"/>
        <v>0.27</v>
      </c>
      <c r="K27" t="str">
        <f t="shared" ca="1" si="9"/>
        <v/>
      </c>
      <c r="L27">
        <f t="shared" ca="1" si="10"/>
        <v>2.6135999999999947E-2</v>
      </c>
      <c r="M27">
        <f t="shared" ca="1" si="11"/>
        <v>2.0090666666666625E-2</v>
      </c>
      <c r="N27">
        <f t="shared" ca="1" si="12"/>
        <v>1.4045333333333306E-2</v>
      </c>
      <c r="O27" s="3">
        <f t="shared" ca="1" si="7"/>
        <v>7.9999999999999846E-3</v>
      </c>
      <c r="P27">
        <f t="shared" ca="1" si="13"/>
        <v>1.9546666666666636E-3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1E75-6C00-804F-98AA-F8F661E22C7E}">
  <dimension ref="A1:I53"/>
  <sheetViews>
    <sheetView zoomScale="110" zoomScaleNormal="110" workbookViewId="0">
      <pane ySplit="1" topLeftCell="A2" activePane="bottomLeft" state="frozen"/>
      <selection pane="bottomLeft" activeCell="J23" sqref="J23"/>
    </sheetView>
  </sheetViews>
  <sheetFormatPr baseColWidth="10" defaultRowHeight="24" x14ac:dyDescent="0.3"/>
  <cols>
    <col min="1" max="1" width="12.83203125" style="1" bestFit="1" customWidth="1"/>
    <col min="2" max="2" width="15.5" style="1" bestFit="1" customWidth="1"/>
    <col min="3" max="3" width="22.33203125" style="1" bestFit="1" customWidth="1"/>
    <col min="4" max="4" width="11.1640625" style="1" bestFit="1" customWidth="1"/>
    <col min="5" max="5" width="17.83203125" style="1" bestFit="1" customWidth="1"/>
    <col min="6" max="6" width="9" style="1" bestFit="1" customWidth="1"/>
    <col min="7" max="7" width="15.5" style="1" bestFit="1" customWidth="1"/>
    <col min="8" max="8" width="8.6640625" style="1" bestFit="1" customWidth="1"/>
    <col min="9" max="9" width="16" style="1" bestFit="1" customWidth="1"/>
    <col min="10" max="16384" width="10.83203125" style="1"/>
  </cols>
  <sheetData>
    <row r="1" spans="1:9" x14ac:dyDescent="0.3">
      <c r="A1" s="1" t="s">
        <v>14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  <c r="I1" s="1" t="s">
        <v>13</v>
      </c>
    </row>
    <row r="2" spans="1:9" x14ac:dyDescent="0.3">
      <c r="A2" s="1">
        <v>2016</v>
      </c>
      <c r="B2" s="1">
        <v>0.82</v>
      </c>
      <c r="C2" s="1">
        <v>0.28999999999999992</v>
      </c>
      <c r="D2" s="1">
        <v>0.22</v>
      </c>
      <c r="E2" s="1">
        <v>0.22</v>
      </c>
      <c r="F2" s="1">
        <v>0.53</v>
      </c>
      <c r="G2" s="1">
        <v>0.31000000000000011</v>
      </c>
      <c r="H2" s="1">
        <v>0.18000000000000005</v>
      </c>
      <c r="I2" s="1" t="s">
        <v>5</v>
      </c>
    </row>
    <row r="3" spans="1:9" x14ac:dyDescent="0.3">
      <c r="A3" s="1">
        <v>2017</v>
      </c>
      <c r="B3" s="1">
        <v>0.84</v>
      </c>
      <c r="C3" s="1">
        <v>0.26</v>
      </c>
      <c r="D3" s="1">
        <v>0.27</v>
      </c>
      <c r="E3" s="1">
        <v>0.27</v>
      </c>
      <c r="F3" s="1">
        <v>0.57999999999999996</v>
      </c>
      <c r="G3" s="1">
        <v>0.30999999999999989</v>
      </c>
      <c r="H3" s="1">
        <v>0.16000000000000003</v>
      </c>
      <c r="I3" s="1" t="s">
        <v>5</v>
      </c>
    </row>
    <row r="4" spans="1:9" x14ac:dyDescent="0.3">
      <c r="A4" s="1">
        <v>2018</v>
      </c>
      <c r="B4" s="1">
        <v>0.84</v>
      </c>
      <c r="C4" s="1">
        <v>0.26</v>
      </c>
      <c r="D4" s="1">
        <v>0.28000000000000003</v>
      </c>
      <c r="E4" s="1">
        <v>0.28000000000000003</v>
      </c>
      <c r="F4" s="1">
        <v>0.57999999999999996</v>
      </c>
      <c r="G4" s="1">
        <v>0.29999999999999988</v>
      </c>
      <c r="H4" s="1">
        <v>0.16000000000000003</v>
      </c>
      <c r="I4" s="1" t="s">
        <v>5</v>
      </c>
    </row>
    <row r="5" spans="1:9" x14ac:dyDescent="0.3">
      <c r="A5" s="1">
        <v>2019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5</v>
      </c>
    </row>
    <row r="6" spans="1:9" x14ac:dyDescent="0.3">
      <c r="A6" s="1">
        <v>2020</v>
      </c>
      <c r="B6" s="1">
        <v>0.78</v>
      </c>
      <c r="C6" s="1">
        <v>0.26</v>
      </c>
      <c r="D6" s="1">
        <v>0.23</v>
      </c>
      <c r="E6" s="1">
        <v>0.23</v>
      </c>
      <c r="F6" s="1">
        <v>0.52</v>
      </c>
      <c r="G6" s="1">
        <v>0.28999999999999998</v>
      </c>
      <c r="H6" s="1">
        <v>0.21999999999999997</v>
      </c>
      <c r="I6" s="1" t="s">
        <v>5</v>
      </c>
    </row>
    <row r="7" spans="1:9" x14ac:dyDescent="0.3">
      <c r="A7" s="1">
        <v>2021</v>
      </c>
      <c r="B7" s="1">
        <v>0.8</v>
      </c>
      <c r="C7" s="1">
        <v>0.27</v>
      </c>
      <c r="D7" s="1">
        <v>0.25</v>
      </c>
      <c r="E7" s="1">
        <v>0.25</v>
      </c>
      <c r="F7" s="1">
        <v>0.53</v>
      </c>
      <c r="G7" s="1">
        <v>0.28000000000000003</v>
      </c>
      <c r="H7" s="1">
        <v>0.19999999999999996</v>
      </c>
      <c r="I7" s="1" t="s">
        <v>5</v>
      </c>
    </row>
    <row r="8" spans="1:9" x14ac:dyDescent="0.3">
      <c r="A8" s="1">
        <v>2022</v>
      </c>
      <c r="B8" s="1">
        <v>0.81</v>
      </c>
      <c r="C8" s="1">
        <v>0.27</v>
      </c>
      <c r="D8" s="1">
        <v>0.2</v>
      </c>
      <c r="E8" s="1">
        <v>0.2</v>
      </c>
      <c r="F8" s="1">
        <v>0.54</v>
      </c>
      <c r="G8" s="1">
        <v>0.34</v>
      </c>
      <c r="H8" s="1">
        <v>0.18999999999999995</v>
      </c>
      <c r="I8" s="1" t="s">
        <v>5</v>
      </c>
    </row>
    <row r="10" spans="1:9" x14ac:dyDescent="0.3">
      <c r="A10" s="1" t="s">
        <v>14</v>
      </c>
      <c r="B10" s="1" t="s">
        <v>12</v>
      </c>
      <c r="C10" s="1" t="s">
        <v>11</v>
      </c>
      <c r="D10" s="1" t="s">
        <v>10</v>
      </c>
      <c r="E10" s="1" t="s">
        <v>9</v>
      </c>
      <c r="F10" s="1" t="s">
        <v>8</v>
      </c>
      <c r="G10" s="1" t="s">
        <v>7</v>
      </c>
      <c r="H10" s="1" t="s">
        <v>6</v>
      </c>
      <c r="I10" s="1" t="s">
        <v>13</v>
      </c>
    </row>
    <row r="11" spans="1:9" x14ac:dyDescent="0.3">
      <c r="A11" s="1">
        <v>2016</v>
      </c>
      <c r="B11" s="1">
        <v>0.8</v>
      </c>
      <c r="C11" s="1">
        <v>0.28000000000000003</v>
      </c>
      <c r="D11" s="1">
        <v>0.19</v>
      </c>
      <c r="E11" s="1">
        <v>0.19</v>
      </c>
      <c r="F11" s="1">
        <v>0.52</v>
      </c>
      <c r="G11" s="1">
        <v>0.33</v>
      </c>
      <c r="H11" s="1">
        <v>0.19999999999999996</v>
      </c>
      <c r="I11" s="1" t="s">
        <v>4</v>
      </c>
    </row>
    <row r="12" spans="1:9" x14ac:dyDescent="0.3">
      <c r="A12" s="1">
        <v>2017</v>
      </c>
      <c r="B12" s="1">
        <v>0.82</v>
      </c>
      <c r="C12" s="1">
        <v>0.26999999999999991</v>
      </c>
      <c r="D12" s="1">
        <v>0.22</v>
      </c>
      <c r="E12" s="1">
        <v>0.22</v>
      </c>
      <c r="F12" s="1">
        <v>0.55000000000000004</v>
      </c>
      <c r="G12" s="1">
        <v>0.33000000000000013</v>
      </c>
      <c r="H12" s="1">
        <v>0.18000000000000005</v>
      </c>
      <c r="I12" s="1" t="s">
        <v>4</v>
      </c>
    </row>
    <row r="13" spans="1:9" x14ac:dyDescent="0.3">
      <c r="A13" s="1">
        <v>2018</v>
      </c>
      <c r="B13" s="1">
        <v>0.81</v>
      </c>
      <c r="C13" s="1">
        <v>0.27</v>
      </c>
      <c r="D13" s="1">
        <v>0.22</v>
      </c>
      <c r="E13" s="1">
        <v>0.22</v>
      </c>
      <c r="F13" s="1">
        <v>0.54</v>
      </c>
      <c r="G13" s="1">
        <v>0.32000000000000012</v>
      </c>
      <c r="H13" s="1">
        <v>0.18999999999999995</v>
      </c>
      <c r="I13" s="1" t="s">
        <v>4</v>
      </c>
    </row>
    <row r="14" spans="1:9" x14ac:dyDescent="0.3">
      <c r="A14" s="1">
        <v>2019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4</v>
      </c>
    </row>
    <row r="15" spans="1:9" x14ac:dyDescent="0.3">
      <c r="A15" s="1">
        <v>2020</v>
      </c>
      <c r="B15" s="1">
        <v>0.77</v>
      </c>
      <c r="C15" s="1">
        <v>0.25</v>
      </c>
      <c r="D15" s="1">
        <v>0.2</v>
      </c>
      <c r="E15" s="1">
        <v>0.2</v>
      </c>
      <c r="F15" s="1">
        <v>0.52</v>
      </c>
      <c r="G15" s="1">
        <v>0.32</v>
      </c>
      <c r="H15" s="1">
        <v>0.22999999999999998</v>
      </c>
      <c r="I15" s="1" t="s">
        <v>4</v>
      </c>
    </row>
    <row r="16" spans="1:9" x14ac:dyDescent="0.3">
      <c r="A16" s="1">
        <v>2021</v>
      </c>
      <c r="B16" s="1">
        <v>0.79</v>
      </c>
      <c r="C16" s="1">
        <v>0.24</v>
      </c>
      <c r="D16" s="1">
        <v>0.23</v>
      </c>
      <c r="E16" s="1">
        <v>0.23</v>
      </c>
      <c r="F16" s="1">
        <v>0.55000000000000004</v>
      </c>
      <c r="G16" s="1">
        <v>0.32000000000000012</v>
      </c>
      <c r="H16" s="1">
        <v>0.20999999999999996</v>
      </c>
      <c r="I16" s="1" t="s">
        <v>4</v>
      </c>
    </row>
    <row r="17" spans="1:9" x14ac:dyDescent="0.3">
      <c r="A17" s="1">
        <v>2022</v>
      </c>
      <c r="B17" s="1">
        <v>0.81</v>
      </c>
      <c r="C17" s="1">
        <v>0.26</v>
      </c>
      <c r="D17" s="1">
        <v>0.16</v>
      </c>
      <c r="E17" s="1">
        <v>0.16</v>
      </c>
      <c r="F17" s="1">
        <v>0.55000000000000004</v>
      </c>
      <c r="G17" s="1">
        <v>0.39</v>
      </c>
      <c r="H17" s="1">
        <v>0.18999999999999995</v>
      </c>
      <c r="I17" s="1" t="s">
        <v>4</v>
      </c>
    </row>
    <row r="19" spans="1:9" x14ac:dyDescent="0.3">
      <c r="A19" s="1" t="s">
        <v>14</v>
      </c>
      <c r="B19" s="1" t="s">
        <v>12</v>
      </c>
      <c r="C19" s="1" t="s">
        <v>11</v>
      </c>
      <c r="D19" s="1" t="s">
        <v>10</v>
      </c>
      <c r="E19" s="1" t="s">
        <v>9</v>
      </c>
      <c r="F19" s="1" t="s">
        <v>8</v>
      </c>
      <c r="G19" s="1" t="s">
        <v>7</v>
      </c>
      <c r="H19" s="1" t="s">
        <v>6</v>
      </c>
      <c r="I19" s="1" t="s">
        <v>13</v>
      </c>
    </row>
    <row r="20" spans="1:9" x14ac:dyDescent="0.3">
      <c r="A20" s="1">
        <v>2016</v>
      </c>
      <c r="B20" s="1">
        <v>0.73</v>
      </c>
      <c r="C20" s="1">
        <v>0.3</v>
      </c>
      <c r="D20" s="1">
        <v>0.12</v>
      </c>
      <c r="E20" s="1">
        <v>0.12</v>
      </c>
      <c r="F20" s="1">
        <v>0.43</v>
      </c>
      <c r="G20" s="1">
        <v>0.31</v>
      </c>
      <c r="H20" s="1">
        <v>0.27</v>
      </c>
      <c r="I20" s="1" t="s">
        <v>3</v>
      </c>
    </row>
    <row r="21" spans="1:9" x14ac:dyDescent="0.3">
      <c r="A21" s="1">
        <v>2017</v>
      </c>
      <c r="B21" s="1">
        <v>0.73</v>
      </c>
      <c r="C21" s="1">
        <v>0.27</v>
      </c>
      <c r="D21" s="1">
        <v>0.12</v>
      </c>
      <c r="E21" s="1">
        <v>0.12</v>
      </c>
      <c r="F21" s="1">
        <v>0.46</v>
      </c>
      <c r="G21" s="1">
        <v>0.34</v>
      </c>
      <c r="H21" s="1">
        <v>0.27</v>
      </c>
      <c r="I21" s="1" t="s">
        <v>3</v>
      </c>
    </row>
    <row r="22" spans="1:9" x14ac:dyDescent="0.3">
      <c r="A22" s="1">
        <v>2018</v>
      </c>
      <c r="B22" s="1">
        <v>0.71</v>
      </c>
      <c r="C22" s="1">
        <v>0.33</v>
      </c>
      <c r="D22" s="1">
        <v>0.11</v>
      </c>
      <c r="E22" s="1">
        <v>0.11</v>
      </c>
      <c r="F22" s="1">
        <v>0.38</v>
      </c>
      <c r="G22" s="1">
        <v>0.27</v>
      </c>
      <c r="H22" s="1">
        <v>0.29000000000000004</v>
      </c>
      <c r="I22" s="1" t="s">
        <v>3</v>
      </c>
    </row>
    <row r="23" spans="1:9" x14ac:dyDescent="0.3">
      <c r="A23" s="1">
        <v>2019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 t="s">
        <v>3</v>
      </c>
    </row>
    <row r="24" spans="1:9" x14ac:dyDescent="0.3">
      <c r="A24" s="1">
        <v>2020</v>
      </c>
      <c r="B24" s="1">
        <v>0.63</v>
      </c>
      <c r="C24" s="1">
        <v>0.33</v>
      </c>
      <c r="D24" s="1">
        <v>0.06</v>
      </c>
      <c r="E24" s="1">
        <v>0.06</v>
      </c>
      <c r="F24" s="1">
        <v>0.3</v>
      </c>
      <c r="G24" s="1">
        <v>0.24</v>
      </c>
      <c r="H24" s="1">
        <v>0.37</v>
      </c>
      <c r="I24" s="1" t="s">
        <v>3</v>
      </c>
    </row>
    <row r="25" spans="1:9" x14ac:dyDescent="0.3">
      <c r="A25" s="1">
        <v>2021</v>
      </c>
      <c r="B25" s="1">
        <v>0.78</v>
      </c>
      <c r="C25" s="1">
        <v>0.3</v>
      </c>
      <c r="D25" s="1">
        <v>0.21</v>
      </c>
      <c r="E25" s="1">
        <v>0.21</v>
      </c>
      <c r="F25" s="1">
        <v>0.48</v>
      </c>
      <c r="G25" s="1">
        <v>0.27</v>
      </c>
      <c r="H25" s="1">
        <v>0.21999999999999997</v>
      </c>
      <c r="I25" s="1" t="s">
        <v>3</v>
      </c>
    </row>
    <row r="26" spans="1:9" x14ac:dyDescent="0.3">
      <c r="A26" s="1">
        <v>2022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 t="s">
        <v>3</v>
      </c>
    </row>
    <row r="28" spans="1:9" x14ac:dyDescent="0.3">
      <c r="A28" s="1" t="s">
        <v>14</v>
      </c>
      <c r="B28" s="1" t="s">
        <v>12</v>
      </c>
      <c r="C28" s="1" t="s">
        <v>11</v>
      </c>
      <c r="D28" s="1" t="s">
        <v>10</v>
      </c>
      <c r="E28" s="1" t="s">
        <v>9</v>
      </c>
      <c r="F28" s="1" t="s">
        <v>8</v>
      </c>
      <c r="G28" s="1" t="s">
        <v>7</v>
      </c>
      <c r="H28" s="1" t="s">
        <v>6</v>
      </c>
      <c r="I28" s="1" t="s">
        <v>13</v>
      </c>
    </row>
    <row r="29" spans="1:9" x14ac:dyDescent="0.3">
      <c r="A29" s="1">
        <v>2016</v>
      </c>
      <c r="B29" s="1">
        <v>0.84</v>
      </c>
      <c r="C29" s="1">
        <v>0.30999999999999989</v>
      </c>
      <c r="D29" s="1">
        <v>0.24</v>
      </c>
      <c r="E29" s="1">
        <v>0.24</v>
      </c>
      <c r="F29" s="1">
        <v>0.53</v>
      </c>
      <c r="G29" s="1">
        <v>0.28999999999999998</v>
      </c>
      <c r="H29" s="1">
        <v>0.16000000000000003</v>
      </c>
      <c r="I29" s="1" t="s">
        <v>2</v>
      </c>
    </row>
    <row r="30" spans="1:9" x14ac:dyDescent="0.3">
      <c r="A30" s="1">
        <v>2017</v>
      </c>
      <c r="B30" s="1">
        <v>0.88</v>
      </c>
      <c r="C30" s="1">
        <v>0.27</v>
      </c>
      <c r="D30" s="1">
        <v>0.3</v>
      </c>
      <c r="E30" s="1">
        <v>0.3</v>
      </c>
      <c r="F30" s="1">
        <v>0.61</v>
      </c>
      <c r="G30" s="1">
        <v>0.31</v>
      </c>
      <c r="H30" s="1">
        <v>0.12</v>
      </c>
      <c r="I30" s="1" t="s">
        <v>2</v>
      </c>
    </row>
    <row r="31" spans="1:9" x14ac:dyDescent="0.3">
      <c r="A31" s="1">
        <v>2018</v>
      </c>
      <c r="B31" s="1">
        <v>0.87</v>
      </c>
      <c r="C31" s="1">
        <v>0.25</v>
      </c>
      <c r="D31" s="1">
        <v>0.33</v>
      </c>
      <c r="E31" s="1">
        <v>0.33</v>
      </c>
      <c r="F31" s="1">
        <v>0.62</v>
      </c>
      <c r="G31" s="1">
        <v>0.28999999999999998</v>
      </c>
      <c r="H31" s="1">
        <v>0.13</v>
      </c>
      <c r="I31" s="1" t="s">
        <v>2</v>
      </c>
    </row>
    <row r="32" spans="1:9" x14ac:dyDescent="0.3">
      <c r="A32" s="1">
        <v>2019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2</v>
      </c>
    </row>
    <row r="33" spans="1:9" x14ac:dyDescent="0.3">
      <c r="A33" s="1">
        <v>2020</v>
      </c>
      <c r="B33" s="1">
        <v>0.79</v>
      </c>
      <c r="C33" s="1">
        <v>0.28999999999999998</v>
      </c>
      <c r="D33" s="1">
        <v>0.23</v>
      </c>
      <c r="E33" s="1">
        <v>0.23</v>
      </c>
      <c r="F33" s="1">
        <v>0.5</v>
      </c>
      <c r="G33" s="1">
        <v>0.27</v>
      </c>
      <c r="H33" s="1">
        <v>0.20999999999999996</v>
      </c>
      <c r="I33" s="1" t="s">
        <v>2</v>
      </c>
    </row>
    <row r="34" spans="1:9" x14ac:dyDescent="0.3">
      <c r="A34" s="1">
        <v>2021</v>
      </c>
      <c r="B34" s="1">
        <v>0.78</v>
      </c>
      <c r="C34" s="1">
        <v>0.3</v>
      </c>
      <c r="D34" s="1">
        <v>0.21</v>
      </c>
      <c r="E34" s="1">
        <v>0.21</v>
      </c>
      <c r="F34" s="1">
        <v>0.48</v>
      </c>
      <c r="G34" s="1">
        <v>0.27</v>
      </c>
      <c r="H34" s="1">
        <v>0.21999999999999997</v>
      </c>
      <c r="I34" s="1" t="s">
        <v>2</v>
      </c>
    </row>
    <row r="35" spans="1:9" x14ac:dyDescent="0.3">
      <c r="A35" s="1">
        <v>2022</v>
      </c>
      <c r="B35" s="1">
        <v>0.8</v>
      </c>
      <c r="C35" s="1">
        <v>0.31000000000000011</v>
      </c>
      <c r="D35" s="1">
        <v>0.18</v>
      </c>
      <c r="E35" s="1">
        <v>0.18</v>
      </c>
      <c r="F35" s="1">
        <v>0.49</v>
      </c>
      <c r="G35" s="1">
        <v>0.31</v>
      </c>
      <c r="H35" s="1">
        <v>0.19999999999999996</v>
      </c>
      <c r="I35" s="1" t="s">
        <v>2</v>
      </c>
    </row>
    <row r="37" spans="1:9" x14ac:dyDescent="0.3">
      <c r="A37" s="1" t="s">
        <v>14</v>
      </c>
      <c r="B37" s="1" t="s">
        <v>12</v>
      </c>
      <c r="C37" s="1" t="s">
        <v>11</v>
      </c>
      <c r="D37" s="1" t="s">
        <v>10</v>
      </c>
      <c r="E37" s="1" t="s">
        <v>9</v>
      </c>
      <c r="F37" s="1" t="s">
        <v>8</v>
      </c>
      <c r="G37" s="1" t="s">
        <v>7</v>
      </c>
      <c r="H37" s="1" t="s">
        <v>6</v>
      </c>
      <c r="I37" s="1" t="s">
        <v>13</v>
      </c>
    </row>
    <row r="38" spans="1:9" x14ac:dyDescent="0.3">
      <c r="A38" s="1">
        <v>2016</v>
      </c>
      <c r="B38" s="1">
        <v>0.85</v>
      </c>
      <c r="C38" s="1">
        <v>0.28999999999999992</v>
      </c>
      <c r="D38" s="1">
        <v>0.23</v>
      </c>
      <c r="E38" s="1">
        <v>0.23</v>
      </c>
      <c r="F38" s="1">
        <v>0.56000000000000005</v>
      </c>
      <c r="G38" s="1">
        <v>0.33000000000000013</v>
      </c>
      <c r="H38" s="1">
        <v>0.15000000000000002</v>
      </c>
      <c r="I38" s="1" t="s">
        <v>1</v>
      </c>
    </row>
    <row r="39" spans="1:9" x14ac:dyDescent="0.3">
      <c r="A39" s="1">
        <v>2017</v>
      </c>
      <c r="B39" s="1">
        <v>0.86</v>
      </c>
      <c r="C39" s="1">
        <v>0.25</v>
      </c>
      <c r="D39" s="1">
        <v>0.28999999999999998</v>
      </c>
      <c r="E39" s="1">
        <v>0.28999999999999998</v>
      </c>
      <c r="F39" s="1">
        <v>0.61</v>
      </c>
      <c r="G39" s="1">
        <v>0.32</v>
      </c>
      <c r="H39" s="1">
        <v>0.14000000000000001</v>
      </c>
      <c r="I39" s="1" t="s">
        <v>1</v>
      </c>
    </row>
    <row r="40" spans="1:9" x14ac:dyDescent="0.3">
      <c r="A40" s="1">
        <v>2018</v>
      </c>
      <c r="B40" s="1">
        <v>0.87</v>
      </c>
      <c r="C40" s="1">
        <v>0.24</v>
      </c>
      <c r="D40" s="1">
        <v>0.31</v>
      </c>
      <c r="E40" s="1">
        <v>0.31</v>
      </c>
      <c r="F40" s="1">
        <v>0.63</v>
      </c>
      <c r="G40" s="1">
        <v>0.32</v>
      </c>
      <c r="H40" s="1">
        <v>0.13</v>
      </c>
      <c r="I40" s="1" t="s">
        <v>1</v>
      </c>
    </row>
    <row r="41" spans="1:9" x14ac:dyDescent="0.3">
      <c r="A41" s="1">
        <v>2019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 t="s">
        <v>1</v>
      </c>
    </row>
    <row r="42" spans="1:9" x14ac:dyDescent="0.3">
      <c r="A42" s="1">
        <v>2020</v>
      </c>
      <c r="B42" s="1">
        <v>0.83</v>
      </c>
      <c r="C42" s="1">
        <v>0.23</v>
      </c>
      <c r="D42" s="1">
        <v>0.31</v>
      </c>
      <c r="E42" s="1">
        <v>0.31</v>
      </c>
      <c r="F42" s="1">
        <v>0.6</v>
      </c>
      <c r="G42" s="1">
        <v>0.28999999999999998</v>
      </c>
      <c r="H42" s="1">
        <v>0.17000000000000004</v>
      </c>
      <c r="I42" s="1" t="s">
        <v>1</v>
      </c>
    </row>
    <row r="43" spans="1:9" x14ac:dyDescent="0.3">
      <c r="A43" s="1">
        <v>2021</v>
      </c>
      <c r="B43" s="1">
        <v>0.84</v>
      </c>
      <c r="C43" s="1">
        <v>0.26</v>
      </c>
      <c r="D43" s="1">
        <v>0.28999999999999998</v>
      </c>
      <c r="E43" s="1">
        <v>0.28999999999999998</v>
      </c>
      <c r="F43" s="1">
        <v>0.57999999999999996</v>
      </c>
      <c r="G43" s="1">
        <v>0.28999999999999998</v>
      </c>
      <c r="H43" s="1">
        <v>0.16000000000000003</v>
      </c>
      <c r="I43" s="1" t="s">
        <v>1</v>
      </c>
    </row>
    <row r="44" spans="1:9" x14ac:dyDescent="0.3">
      <c r="A44" s="1">
        <v>2022</v>
      </c>
      <c r="B44" s="1">
        <v>0.85</v>
      </c>
      <c r="C44" s="1">
        <v>0.25</v>
      </c>
      <c r="D44" s="1">
        <v>0.26</v>
      </c>
      <c r="E44" s="1">
        <v>0.26</v>
      </c>
      <c r="F44" s="1">
        <v>0.6</v>
      </c>
      <c r="G44" s="1">
        <v>0.34</v>
      </c>
      <c r="H44" s="1">
        <v>0.15000000000000002</v>
      </c>
      <c r="I44" s="1" t="s">
        <v>1</v>
      </c>
    </row>
    <row r="46" spans="1:9" x14ac:dyDescent="0.3">
      <c r="A46" s="1" t="s">
        <v>14</v>
      </c>
      <c r="B46" s="1" t="s">
        <v>12</v>
      </c>
      <c r="C46" s="1" t="s">
        <v>11</v>
      </c>
      <c r="D46" s="1" t="s">
        <v>10</v>
      </c>
      <c r="E46" s="1" t="s">
        <v>9</v>
      </c>
      <c r="F46" s="1" t="s">
        <v>8</v>
      </c>
      <c r="G46" s="1" t="s">
        <v>7</v>
      </c>
      <c r="H46" s="1" t="s">
        <v>6</v>
      </c>
      <c r="I46" s="1" t="s">
        <v>13</v>
      </c>
    </row>
    <row r="47" spans="1:9" x14ac:dyDescent="0.3">
      <c r="A47" s="1">
        <v>2016</v>
      </c>
      <c r="B47" s="1">
        <v>0.89</v>
      </c>
      <c r="C47" s="1">
        <v>0.24</v>
      </c>
      <c r="D47" s="1">
        <v>0.35</v>
      </c>
      <c r="E47" s="1">
        <v>0.35</v>
      </c>
      <c r="F47" s="1">
        <v>0.65</v>
      </c>
      <c r="G47" s="1">
        <v>0.3</v>
      </c>
      <c r="H47" s="1">
        <v>0.10999999999999999</v>
      </c>
      <c r="I47" s="1" t="s">
        <v>0</v>
      </c>
    </row>
    <row r="48" spans="1:9" x14ac:dyDescent="0.3">
      <c r="A48" s="1">
        <v>2017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 t="s">
        <v>0</v>
      </c>
    </row>
    <row r="49" spans="1:9" x14ac:dyDescent="0.3">
      <c r="A49" s="1">
        <v>2018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 t="s">
        <v>0</v>
      </c>
    </row>
    <row r="50" spans="1:9" x14ac:dyDescent="0.3">
      <c r="A50" s="1">
        <v>2019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 t="s">
        <v>0</v>
      </c>
    </row>
    <row r="51" spans="1:9" x14ac:dyDescent="0.3">
      <c r="A51" s="1">
        <v>2020</v>
      </c>
      <c r="B51" s="1">
        <v>0.87</v>
      </c>
      <c r="C51" s="1">
        <v>0.22</v>
      </c>
      <c r="D51" s="1">
        <v>0.43</v>
      </c>
      <c r="E51" s="1">
        <v>0.43</v>
      </c>
      <c r="F51" s="1">
        <v>0.65</v>
      </c>
      <c r="G51" s="1">
        <v>0.22</v>
      </c>
      <c r="H51" s="1">
        <v>0.13</v>
      </c>
      <c r="I51" s="1" t="s">
        <v>0</v>
      </c>
    </row>
    <row r="52" spans="1:9" x14ac:dyDescent="0.3">
      <c r="A52" s="1">
        <v>2021</v>
      </c>
      <c r="B52" s="1">
        <v>0.85</v>
      </c>
      <c r="C52" s="1">
        <v>0.25</v>
      </c>
      <c r="D52" s="1">
        <v>0.39</v>
      </c>
      <c r="E52" s="1">
        <v>0.39</v>
      </c>
      <c r="F52" s="1">
        <v>0.6</v>
      </c>
      <c r="G52" s="1">
        <v>0.21</v>
      </c>
      <c r="H52" s="1">
        <v>0.15000000000000002</v>
      </c>
      <c r="I52" s="1" t="s">
        <v>0</v>
      </c>
    </row>
    <row r="53" spans="1:9" x14ac:dyDescent="0.3">
      <c r="A53" s="1">
        <v>2022</v>
      </c>
      <c r="B53" s="1">
        <v>0.84</v>
      </c>
      <c r="C53" s="1">
        <v>0.25</v>
      </c>
      <c r="D53" s="1">
        <v>0.33</v>
      </c>
      <c r="E53" s="1">
        <v>0.33</v>
      </c>
      <c r="F53" s="1">
        <v>0.59</v>
      </c>
      <c r="G53" s="1">
        <v>0.26</v>
      </c>
      <c r="H53" s="1">
        <v>0.16000000000000003</v>
      </c>
      <c r="I5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2016-2022 STAAR all_subj combin</vt:lpstr>
      <vt:lpstr>2016-2022 STAAR all sub apponly</vt:lpstr>
      <vt:lpstr>2016-2022 STAAR XmR Chart Data</vt:lpstr>
      <vt:lpstr>'2016-2022 STAAR all sub apponly'!Print_Area</vt:lpstr>
      <vt:lpstr>'2016-2022 STAAR all_subj combin'!Print_Area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2016-2022 STAAR XmR Charts a</dc:title>
  <dc:creator>D S and QI Macros</dc:creator>
  <dc:description>
_x000d_Charts created with QI Macros for Excel
_x000d_www.qimacros.com</dc:description>
  <cp:lastModifiedBy>D S</cp:lastModifiedBy>
  <dcterms:created xsi:type="dcterms:W3CDTF">2024-01-19T03:50:25Z</dcterms:created>
  <dcterms:modified xsi:type="dcterms:W3CDTF">2024-01-25T22:28:17Z</dcterms:modified>
</cp:coreProperties>
</file>